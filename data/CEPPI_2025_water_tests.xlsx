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res-my.sharepoint.com/personal/mamens_ms_ugr_es/Documents/Textil/TFM Laura G/LONG TERM TEST. PRE-PILOT. COLOSSUS/Zenodo/"/>
    </mc:Choice>
  </mc:AlternateContent>
  <xr:revisionPtr revIDLastSave="46" documentId="8_{64F2EEC1-F2B6-404E-ABEF-10D8564F7705}" xr6:coauthVersionLast="47" xr6:coauthVersionMax="47" xr10:uidLastSave="{1CFB29E2-54C9-4820-B60F-90FF140CEB16}"/>
  <bookViews>
    <workbookView xWindow="-120" yWindow="-120" windowWidth="21840" windowHeight="13140" xr2:uid="{35FF1F1A-23B8-410D-8124-912915096ADD}"/>
  </bookViews>
  <sheets>
    <sheet name="FO - water as feed" sheetId="7" r:id="rId1"/>
    <sheet name="RO - NaCl 0.5 M" sheetId="1" r:id="rId2"/>
  </sheets>
  <externalReferences>
    <externalReference r:id="rId3"/>
  </externalReferences>
  <definedNames>
    <definedName name="_xlnm._FilterDatabase" localSheetId="0" hidden="1">'FO - water as feed'!#REF!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5" i="7" l="1"/>
  <c r="C35" i="7"/>
  <c r="B33" i="7"/>
  <c r="C33" i="7"/>
  <c r="D22" i="7"/>
  <c r="D21" i="7"/>
  <c r="D20" i="7"/>
  <c r="D19" i="7"/>
  <c r="D18" i="7"/>
  <c r="C18" i="7"/>
  <c r="B18" i="7"/>
  <c r="C17" i="7"/>
  <c r="D17" i="7" s="1"/>
  <c r="B17" i="7"/>
  <c r="C16" i="7"/>
  <c r="D16" i="7" s="1"/>
  <c r="B16" i="7"/>
  <c r="C15" i="7"/>
  <c r="D15" i="7" s="1"/>
  <c r="B15" i="7"/>
  <c r="D14" i="7"/>
  <c r="C14" i="7"/>
  <c r="B14" i="7"/>
  <c r="C13" i="7"/>
  <c r="D13" i="7" s="1"/>
  <c r="B13" i="7"/>
  <c r="C12" i="7"/>
  <c r="D12" i="7" s="1"/>
  <c r="B12" i="7"/>
  <c r="A12" i="7"/>
  <c r="C11" i="7"/>
  <c r="D11" i="7" s="1"/>
  <c r="B11" i="7"/>
  <c r="A11" i="7"/>
  <c r="C10" i="7"/>
  <c r="D10" i="7" s="1"/>
  <c r="B10" i="7"/>
  <c r="A10" i="7"/>
  <c r="C9" i="7"/>
  <c r="D9" i="7" s="1"/>
  <c r="B9" i="7"/>
  <c r="A9" i="7"/>
  <c r="C8" i="7"/>
  <c r="D8" i="7" s="1"/>
  <c r="B8" i="7"/>
  <c r="A8" i="7"/>
  <c r="C7" i="7"/>
  <c r="D7" i="7" s="1"/>
  <c r="B7" i="7"/>
  <c r="A7" i="7"/>
  <c r="C6" i="7"/>
  <c r="D6" i="7" s="1"/>
  <c r="B6" i="7"/>
  <c r="A6" i="7"/>
  <c r="C5" i="7"/>
  <c r="D5" i="7" s="1"/>
  <c r="B5" i="7"/>
  <c r="A5" i="7"/>
  <c r="C4" i="7"/>
  <c r="D4" i="7" s="1"/>
  <c r="B4" i="7"/>
  <c r="A4" i="7"/>
  <c r="C3" i="7"/>
  <c r="D3" i="7" s="1"/>
  <c r="B3" i="7"/>
  <c r="A3" i="7"/>
  <c r="C2" i="7"/>
  <c r="B2" i="7"/>
  <c r="D2" i="7" l="1"/>
  <c r="G20" i="1" l="1"/>
  <c r="E23" i="1"/>
  <c r="F23" i="1"/>
  <c r="C30" i="1"/>
  <c r="E30" i="1"/>
  <c r="G12" i="1"/>
  <c r="F31" i="1"/>
  <c r="G31" i="1" s="1"/>
  <c r="F32" i="1"/>
  <c r="G32" i="1" s="1"/>
  <c r="F30" i="1"/>
  <c r="G30" i="1" s="1"/>
  <c r="C32" i="1"/>
  <c r="C31" i="1"/>
  <c r="I12" i="1" l="1"/>
  <c r="E32" i="1"/>
  <c r="D30" i="1"/>
  <c r="E31" i="1"/>
  <c r="G15" i="1"/>
  <c r="G14" i="1"/>
  <c r="G13" i="1"/>
  <c r="E21" i="1" l="1"/>
  <c r="E22" i="1" l="1"/>
  <c r="E20" i="1"/>
  <c r="E18" i="1" l="1"/>
  <c r="E17" i="1"/>
  <c r="E16" i="1"/>
  <c r="F19" i="1"/>
  <c r="E19" i="1"/>
  <c r="F15" i="1"/>
  <c r="E14" i="1"/>
  <c r="E13" i="1"/>
  <c r="E12" i="1"/>
  <c r="E15" i="1" l="1"/>
  <c r="I20" i="1"/>
  <c r="I16" i="1"/>
  <c r="G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tc={B767867D-C000-4A2D-A775-B989790153C1}</author>
  </authors>
  <commentList>
    <comment ref="B11" authorId="0" shapeId="0" xr:uid="{B767867D-C000-4A2D-A775-B989790153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 Comprobar que la membrana está bien. Para ello validamos (añadir captura de la hoja data sheet SW3 -2540 ) queremos la que mayor rejection tenga (no podemos llegar a 55 bar aunque lo diga el fabricante por la bomba).
Respuesta:
    Para conseguir lo de la data sheet tenemos limitaciones del sistema piloto.
no podemos trabajr a partir de 700 con presiones de alrededor de 50 bar. Esto nos limitó apra trabajar a flujos inferiores de 700 y por tanto el flujo de permeado.
Respuesta:
    Esto es a 32000 ppm entonces una vez teníamos esta orientacion hcimos los 0.7 M
Respuesta:
    Con 0.5 YA TENEMOS UNA BUENA orientacion de que el flujo de permeado puedde estar alrededor de 50-90 L/hr. a una concentracion mayor de sal perderé flujo (expected). pero no obstante ya se que voy a estar en el rango de FO que vpy a estar trabajando voy a tener alredor de 82.8 L/hr (6 lm^2h)
Respuesta:
    aquí ya empezamos el 0.7 M con esta referencia (la que hicimos end of pipe application)
Respuesta:
    Hcer una hoja con QC con los que hemos epxplciado y poner los graficos de 40 y 50 bar.
Respuesta:
    para 0.7 hacer un gráfico tiempo-permeado (linea) y rejection (barras)</t>
      </text>
    </comment>
  </commentList>
</comments>
</file>

<file path=xl/sharedStrings.xml><?xml version="1.0" encoding="utf-8"?>
<sst xmlns="http://schemas.openxmlformats.org/spreadsheetml/2006/main" count="28" uniqueCount="24">
  <si>
    <t>NaCl rejection (%)</t>
  </si>
  <si>
    <t>AVERAGE</t>
  </si>
  <si>
    <t>Tests</t>
  </si>
  <si>
    <t>Feed inflow (L/h)</t>
  </si>
  <si>
    <t>Feed pressure (bar)</t>
  </si>
  <si>
    <t>Permeate (mS/cm)</t>
  </si>
  <si>
    <t>Feed (mS/cm)</t>
  </si>
  <si>
    <t>Permeate flow (L/h)</t>
  </si>
  <si>
    <t>Recovery (%)</t>
  </si>
  <si>
    <t>650L/h</t>
  </si>
  <si>
    <t>TMP (bar)</t>
  </si>
  <si>
    <r>
      <t>Permeate flux (L/h·m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)</t>
    </r>
  </si>
  <si>
    <t>NaCl permeability</t>
  </si>
  <si>
    <t>Q permeate (L/h)</t>
  </si>
  <si>
    <t>HFFO14® membrane, employing deionized water as feed solution. Draw solution: 0,5 M NaCl</t>
  </si>
  <si>
    <t>Time [min]</t>
  </si>
  <si>
    <t>Jw [g/m2h]</t>
  </si>
  <si>
    <t>Js [g/m2h]</t>
  </si>
  <si>
    <t>Js/Jw [g/L]</t>
  </si>
  <si>
    <t>SD</t>
  </si>
  <si>
    <t>MEAN (L/hm2)</t>
  </si>
  <si>
    <t>Feed: osmotized water</t>
  </si>
  <si>
    <t>Draw solution: 0,5 M NaCl</t>
  </si>
  <si>
    <t>MEAN (g/hm2)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</si>
</sst>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%"/>
    <numFmt numFmtId="166" formatCode="0.000"/>
    <numFmt numFmtId="168" formatCode="0.0000"/>
    <numFmt numFmtId="169" formatCode="0.0000%"/>
    <numFmt numFmtId="170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ourier New"/>
      <family val="2"/>
    </font>
    <font>
      <sz val="12"/>
      <color rgb="FF9C65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indexed="13"/>
      <name val="Arial"/>
      <family val="2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vertAlign val="superscript"/>
      <sz val="11"/>
      <color theme="1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4" borderId="2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3" fillId="2" borderId="0" applyNumberFormat="0" applyBorder="0" applyAlignment="0" applyProtection="0"/>
    <xf numFmtId="0" fontId="1" fillId="0" borderId="0"/>
    <xf numFmtId="0" fontId="1" fillId="4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2" applyNumberFormat="0" applyFont="0" applyAlignment="0" applyProtection="0"/>
    <xf numFmtId="0" fontId="7" fillId="3" borderId="1" applyNumberFormat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94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165" fontId="8" fillId="0" borderId="0" xfId="1" applyNumberFormat="1" applyFont="1"/>
    <xf numFmtId="165" fontId="10" fillId="0" borderId="0" xfId="1" applyNumberFormat="1" applyFont="1"/>
    <xf numFmtId="0" fontId="9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5" fontId="8" fillId="0" borderId="13" xfId="1" applyNumberFormat="1" applyFont="1" applyBorder="1" applyAlignment="1">
      <alignment horizontal="center" vertical="center"/>
    </xf>
    <xf numFmtId="165" fontId="8" fillId="0" borderId="9" xfId="1" applyNumberFormat="1" applyFont="1" applyBorder="1" applyAlignment="1">
      <alignment horizontal="center" vertical="center"/>
    </xf>
    <xf numFmtId="165" fontId="8" fillId="0" borderId="16" xfId="1" applyNumberFormat="1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8" fillId="0" borderId="18" xfId="0" applyFont="1" applyBorder="1"/>
    <xf numFmtId="166" fontId="8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0" fontId="8" fillId="0" borderId="0" xfId="0" applyNumberFormat="1" applyFont="1"/>
    <xf numFmtId="169" fontId="8" fillId="0" borderId="5" xfId="1" applyNumberFormat="1" applyFont="1" applyBorder="1" applyAlignment="1">
      <alignment vertical="center"/>
    </xf>
    <xf numFmtId="2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6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5" fontId="8" fillId="0" borderId="17" xfId="1" applyNumberFormat="1" applyFont="1" applyBorder="1" applyAlignment="1">
      <alignment horizontal="center" vertical="center"/>
    </xf>
    <xf numFmtId="165" fontId="8" fillId="0" borderId="13" xfId="1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65" fontId="8" fillId="6" borderId="3" xfId="1" applyNumberFormat="1" applyFont="1" applyFill="1" applyBorder="1" applyAlignment="1">
      <alignment horizontal="center" vertical="center"/>
    </xf>
    <xf numFmtId="165" fontId="8" fillId="6" borderId="13" xfId="1" applyNumberFormat="1" applyFont="1" applyFill="1" applyBorder="1" applyAlignment="1">
      <alignment horizontal="center" vertical="center"/>
    </xf>
    <xf numFmtId="165" fontId="8" fillId="0" borderId="3" xfId="1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166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/>
    <xf numFmtId="166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8" fillId="0" borderId="0" xfId="0" applyFont="1" applyBorder="1" applyAlignment="1">
      <alignment wrapText="1"/>
    </xf>
    <xf numFmtId="2" fontId="9" fillId="0" borderId="0" xfId="0" applyNumberFormat="1" applyFont="1" applyBorder="1" applyAlignment="1">
      <alignment vertical="center"/>
    </xf>
    <xf numFmtId="0" fontId="8" fillId="0" borderId="0" xfId="0" applyFont="1" applyFill="1"/>
    <xf numFmtId="2" fontId="8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6" fontId="9" fillId="0" borderId="0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0" borderId="0" xfId="0" applyFont="1"/>
    <xf numFmtId="2" fontId="12" fillId="0" borderId="12" xfId="0" applyNumberFormat="1" applyFont="1" applyBorder="1" applyAlignment="1">
      <alignment horizontal="center" vertical="center"/>
    </xf>
    <xf numFmtId="166" fontId="1" fillId="8" borderId="3" xfId="0" applyNumberFormat="1" applyFont="1" applyFill="1" applyBorder="1" applyAlignment="1">
      <alignment horizontal="center" vertical="center"/>
    </xf>
    <xf numFmtId="168" fontId="1" fillId="8" borderId="3" xfId="0" applyNumberFormat="1" applyFont="1" applyFill="1" applyBorder="1" applyAlignment="1">
      <alignment horizontal="center" vertical="center"/>
    </xf>
    <xf numFmtId="168" fontId="1" fillId="8" borderId="1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1" fillId="6" borderId="0" xfId="0" applyFont="1" applyFill="1"/>
    <xf numFmtId="170" fontId="1" fillId="8" borderId="3" xfId="0" applyNumberFormat="1" applyFont="1" applyFill="1" applyBorder="1" applyAlignment="1">
      <alignment horizontal="center" vertical="center"/>
    </xf>
    <xf numFmtId="166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/>
    <xf numFmtId="168" fontId="1" fillId="0" borderId="3" xfId="0" applyNumberFormat="1" applyFont="1" applyFill="1" applyBorder="1" applyAlignment="1">
      <alignment horizontal="center" vertical="center"/>
    </xf>
  </cellXfs>
  <cellStyles count="22">
    <cellStyle name="Bemærk! 2" xfId="13" xr:uid="{00000000-0005-0000-0000-000002000000}"/>
    <cellStyle name="Bemærk! 2 2" xfId="18" xr:uid="{00000000-0005-0000-0000-000003000000}"/>
    <cellStyle name="Comma 2" xfId="21" xr:uid="{00000000-0005-0000-0000-000031000000}"/>
    <cellStyle name="Explanatory Text 2" xfId="4" xr:uid="{00000000-0005-0000-0000-000032000000}"/>
    <cellStyle name="Input 2" xfId="19" xr:uid="{00000000-0005-0000-0000-000033000000}"/>
    <cellStyle name="Neutral 2" xfId="11" xr:uid="{00000000-0005-0000-0000-00005E000000}"/>
    <cellStyle name="Neutral 3" xfId="3" xr:uid="{00000000-0005-0000-0000-000034000000}"/>
    <cellStyle name="Normal" xfId="0" builtinId="0"/>
    <cellStyle name="Normal 2" xfId="7" xr:uid="{00000000-0005-0000-0000-000060000000}"/>
    <cellStyle name="Normal 2 2" xfId="10" xr:uid="{00000000-0005-0000-0000-000061000000}"/>
    <cellStyle name="Normal 2 2 2" xfId="16" xr:uid="{00000000-0005-0000-0000-000062000000}"/>
    <cellStyle name="Normal 2 3" xfId="9" xr:uid="{00000000-0005-0000-0000-000063000000}"/>
    <cellStyle name="Normal 2 3 2" xfId="15" xr:uid="{00000000-0005-0000-0000-000064000000}"/>
    <cellStyle name="Normal 2 4" xfId="14" xr:uid="{00000000-0005-0000-0000-000065000000}"/>
    <cellStyle name="Normal 3" xfId="8" xr:uid="{00000000-0005-0000-0000-000066000000}"/>
    <cellStyle name="Normal 4" xfId="12" xr:uid="{00000000-0005-0000-0000-000067000000}"/>
    <cellStyle name="Normal 4 2" xfId="17" xr:uid="{00000000-0005-0000-0000-000068000000}"/>
    <cellStyle name="Normal 5" xfId="2" xr:uid="{00000000-0005-0000-0000-000036000000}"/>
    <cellStyle name="Note 2" xfId="6" xr:uid="{00000000-0005-0000-0000-000040000000}"/>
    <cellStyle name="Percent 2" xfId="20" xr:uid="{00000000-0005-0000-0000-000041000000}"/>
    <cellStyle name="Porcentaje" xfId="1" builtinId="5"/>
    <cellStyle name="Warning Text 2" xfId="5" xr:uid="{00000000-0005-0000-0000-00004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401390738719543E-2"/>
          <c:y val="5.5568669642136054E-2"/>
          <c:w val="0.83723217656528026"/>
          <c:h val="0.72112024942213626"/>
        </c:manualLayout>
      </c:layout>
      <c:barChart>
        <c:barDir val="col"/>
        <c:grouping val="clustered"/>
        <c:varyColors val="0"/>
        <c:ser>
          <c:idx val="0"/>
          <c:order val="0"/>
          <c:tx>
            <c:v>Jw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'FO - water as feed'!$A$2:$A$27</c:f>
              <c:numCache>
                <c:formatCode>0.00</c:formatCode>
                <c:ptCount val="26"/>
                <c:pt idx="0">
                  <c:v>0</c:v>
                </c:pt>
                <c:pt idx="1">
                  <c:v>2.002524999999999</c:v>
                </c:pt>
                <c:pt idx="2">
                  <c:v>4.0025099999999991</c:v>
                </c:pt>
                <c:pt idx="3">
                  <c:v>6.0033516666666662</c:v>
                </c:pt>
                <c:pt idx="4">
                  <c:v>8.0041949999999993</c:v>
                </c:pt>
                <c:pt idx="5">
                  <c:v>10.006668333333332</c:v>
                </c:pt>
                <c:pt idx="6">
                  <c:v>12.009191666666664</c:v>
                </c:pt>
                <c:pt idx="7">
                  <c:v>14.010001666666666</c:v>
                </c:pt>
                <c:pt idx="8">
                  <c:v>16.00999666666667</c:v>
                </c:pt>
                <c:pt idx="9">
                  <c:v>18.012523333333334</c:v>
                </c:pt>
                <c:pt idx="10">
                  <c:v>20.011668333333333</c:v>
                </c:pt>
                <c:pt idx="11">
                  <c:v>22.01</c:v>
                </c:pt>
                <c:pt idx="12">
                  <c:v>24.02</c:v>
                </c:pt>
                <c:pt idx="13">
                  <c:v>26.02</c:v>
                </c:pt>
                <c:pt idx="14">
                  <c:v>28.02</c:v>
                </c:pt>
                <c:pt idx="15">
                  <c:v>30.02</c:v>
                </c:pt>
                <c:pt idx="16">
                  <c:v>32.020000000000003</c:v>
                </c:pt>
                <c:pt idx="17">
                  <c:v>34.020000000000003</c:v>
                </c:pt>
                <c:pt idx="18">
                  <c:v>36.020000000000003</c:v>
                </c:pt>
                <c:pt idx="19">
                  <c:v>38.020000000000003</c:v>
                </c:pt>
                <c:pt idx="20">
                  <c:v>40.020000000000003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cat>
          <c:val>
            <c:numRef>
              <c:f>'FO - water as feed'!$B$2:$B$27</c:f>
              <c:numCache>
                <c:formatCode>0.000</c:formatCode>
                <c:ptCount val="26"/>
                <c:pt idx="0">
                  <c:v>7.8733188405797128</c:v>
                </c:pt>
                <c:pt idx="1">
                  <c:v>7.4311884057971032</c:v>
                </c:pt>
                <c:pt idx="2">
                  <c:v>7.2686304347826116</c:v>
                </c:pt>
                <c:pt idx="3">
                  <c:v>7.4368913043478253</c:v>
                </c:pt>
                <c:pt idx="4">
                  <c:v>7.5342028985507232</c:v>
                </c:pt>
                <c:pt idx="5">
                  <c:v>7.4194130434782606</c:v>
                </c:pt>
                <c:pt idx="6">
                  <c:v>7.062137681159423</c:v>
                </c:pt>
                <c:pt idx="7">
                  <c:v>7.9552898550724649</c:v>
                </c:pt>
                <c:pt idx="8">
                  <c:v>7.5295144927536244</c:v>
                </c:pt>
                <c:pt idx="9">
                  <c:v>7.9012246376811595</c:v>
                </c:pt>
                <c:pt idx="10">
                  <c:v>8.1709275362318845</c:v>
                </c:pt>
                <c:pt idx="11">
                  <c:v>8.0361666666666647</c:v>
                </c:pt>
                <c:pt idx="12">
                  <c:v>7.1145579710144933</c:v>
                </c:pt>
                <c:pt idx="13">
                  <c:v>7.7257753623188403</c:v>
                </c:pt>
                <c:pt idx="14">
                  <c:v>7.6221811594202906</c:v>
                </c:pt>
                <c:pt idx="15">
                  <c:v>7.7321159420289876</c:v>
                </c:pt>
                <c:pt idx="16">
                  <c:v>7.7695652173913059</c:v>
                </c:pt>
                <c:pt idx="17">
                  <c:v>7.42</c:v>
                </c:pt>
                <c:pt idx="18">
                  <c:v>7.3419999999999996</c:v>
                </c:pt>
                <c:pt idx="19">
                  <c:v>7.4249999999999998</c:v>
                </c:pt>
                <c:pt idx="20">
                  <c:v>8.2140000000000004</c:v>
                </c:pt>
                <c:pt idx="21">
                  <c:v>8.3900652173913031</c:v>
                </c:pt>
                <c:pt idx="22">
                  <c:v>7.9753260869565228</c:v>
                </c:pt>
                <c:pt idx="23">
                  <c:v>7.6878260869565205</c:v>
                </c:pt>
                <c:pt idx="24">
                  <c:v>7.2641159420289849</c:v>
                </c:pt>
                <c:pt idx="25">
                  <c:v>7.124159420289855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0-43FD-9BCD-87A939A950F7}"/>
            </c:ext>
          </c:extLst>
        </c:ser>
        <c:ser>
          <c:idx val="1"/>
          <c:order val="1"/>
          <c:tx>
            <c:v>Js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'FO - water as feed'!$A$2:$A$27</c:f>
              <c:numCache>
                <c:formatCode>0.00</c:formatCode>
                <c:ptCount val="26"/>
                <c:pt idx="0">
                  <c:v>0</c:v>
                </c:pt>
                <c:pt idx="1">
                  <c:v>2.002524999999999</c:v>
                </c:pt>
                <c:pt idx="2">
                  <c:v>4.0025099999999991</c:v>
                </c:pt>
                <c:pt idx="3">
                  <c:v>6.0033516666666662</c:v>
                </c:pt>
                <c:pt idx="4">
                  <c:v>8.0041949999999993</c:v>
                </c:pt>
                <c:pt idx="5">
                  <c:v>10.006668333333332</c:v>
                </c:pt>
                <c:pt idx="6">
                  <c:v>12.009191666666664</c:v>
                </c:pt>
                <c:pt idx="7">
                  <c:v>14.010001666666666</c:v>
                </c:pt>
                <c:pt idx="8">
                  <c:v>16.00999666666667</c:v>
                </c:pt>
                <c:pt idx="9">
                  <c:v>18.012523333333334</c:v>
                </c:pt>
                <c:pt idx="10">
                  <c:v>20.011668333333333</c:v>
                </c:pt>
                <c:pt idx="11">
                  <c:v>22.01</c:v>
                </c:pt>
                <c:pt idx="12">
                  <c:v>24.02</c:v>
                </c:pt>
                <c:pt idx="13">
                  <c:v>26.02</c:v>
                </c:pt>
                <c:pt idx="14">
                  <c:v>28.02</c:v>
                </c:pt>
                <c:pt idx="15">
                  <c:v>30.02</c:v>
                </c:pt>
                <c:pt idx="16">
                  <c:v>32.020000000000003</c:v>
                </c:pt>
                <c:pt idx="17">
                  <c:v>34.020000000000003</c:v>
                </c:pt>
                <c:pt idx="18">
                  <c:v>36.020000000000003</c:v>
                </c:pt>
                <c:pt idx="19">
                  <c:v>38.020000000000003</c:v>
                </c:pt>
                <c:pt idx="20">
                  <c:v>40.020000000000003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cat>
          <c:val>
            <c:numRef>
              <c:f>'FO - water as feed'!$C$2:$C$27</c:f>
              <c:numCache>
                <c:formatCode>0.0000</c:formatCode>
                <c:ptCount val="26"/>
                <c:pt idx="0">
                  <c:v>0.77824334608695656</c:v>
                </c:pt>
                <c:pt idx="1">
                  <c:v>0.77222102763285017</c:v>
                </c:pt>
                <c:pt idx="2">
                  <c:v>0.7686594871497584</c:v>
                </c:pt>
                <c:pt idx="3">
                  <c:v>0.77644451314009666</c:v>
                </c:pt>
                <c:pt idx="4">
                  <c:v>0.77584180316425133</c:v>
                </c:pt>
                <c:pt idx="5">
                  <c:v>0.79395794458937186</c:v>
                </c:pt>
                <c:pt idx="6">
                  <c:v>0.7899931792512076</c:v>
                </c:pt>
                <c:pt idx="7">
                  <c:v>0.78863003710144919</c:v>
                </c:pt>
                <c:pt idx="8">
                  <c:v>0.80224763747584527</c:v>
                </c:pt>
                <c:pt idx="9">
                  <c:v>0.8082611810748791</c:v>
                </c:pt>
                <c:pt idx="10">
                  <c:v>0.82762523458937187</c:v>
                </c:pt>
                <c:pt idx="11">
                  <c:v>0.78372282028985507</c:v>
                </c:pt>
                <c:pt idx="12">
                  <c:v>0.79659703429951678</c:v>
                </c:pt>
                <c:pt idx="13">
                  <c:v>0.78621105314009654</c:v>
                </c:pt>
                <c:pt idx="14">
                  <c:v>0.78106548164251188</c:v>
                </c:pt>
                <c:pt idx="15">
                  <c:v>0.78972113381642495</c:v>
                </c:pt>
                <c:pt idx="16">
                  <c:v>0.80123573526570036</c:v>
                </c:pt>
                <c:pt idx="17">
                  <c:v>0.84209999999999996</c:v>
                </c:pt>
                <c:pt idx="18">
                  <c:v>0.79979999999999996</c:v>
                </c:pt>
                <c:pt idx="19">
                  <c:v>0.78449999999999998</c:v>
                </c:pt>
                <c:pt idx="20">
                  <c:v>0.80120000000000002</c:v>
                </c:pt>
                <c:pt idx="21">
                  <c:v>0.8068458071859903</c:v>
                </c:pt>
                <c:pt idx="22">
                  <c:v>0.80546268073671501</c:v>
                </c:pt>
                <c:pt idx="23">
                  <c:v>0.78886298605072458</c:v>
                </c:pt>
                <c:pt idx="24">
                  <c:v>0.80573306362318853</c:v>
                </c:pt>
                <c:pt idx="25">
                  <c:v>0.79849999999999999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0-43FD-9BCD-87A939A95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884810368"/>
        <c:axId val="884807744"/>
      </c:barChart>
      <c:lineChart>
        <c:grouping val="stacked"/>
        <c:varyColors val="0"/>
        <c:ser>
          <c:idx val="2"/>
          <c:order val="2"/>
          <c:tx>
            <c:v>Js/Jw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(Calculations!$A$2,Calculations!$A$3,Calculations!$A$4,Calculations!$A$5,Calculations!$A$6,Calculations!$A$7,Calculations!$A$8,Calculations!$A$9,Calculations!$A$10,Calculations!$A$11,Calculations!$A$12,Calculations!$A$13,Calculations!$A$14,Calculations!$A$15,Calculations!$A$16,Calculations!$A$17,Calculations!$A$18,Calculations!$A$19,Calculations!$A$20,Calculations!$A$21,Calculations!#REF!)</c:f>
            </c:multiLvlStrRef>
          </c:cat>
          <c:val>
            <c:numRef>
              <c:f>'FO - water as feed'!$D$2:$D$27</c:f>
              <c:numCache>
                <c:formatCode>0.0000</c:formatCode>
                <c:ptCount val="26"/>
                <c:pt idx="0">
                  <c:v>9.884565350965191E-2</c:v>
                </c:pt>
                <c:pt idx="1">
                  <c:v>0.10391622247532267</c:v>
                </c:pt>
                <c:pt idx="2">
                  <c:v>0.105750250208277</c:v>
                </c:pt>
                <c:pt idx="3">
                  <c:v>0.10440444553575287</c:v>
                </c:pt>
                <c:pt idx="4">
                  <c:v>0.10297596356390827</c:v>
                </c:pt>
                <c:pt idx="5">
                  <c:v>0.10701088346702425</c:v>
                </c:pt>
                <c:pt idx="6">
                  <c:v>0.11186318009046672</c:v>
                </c:pt>
                <c:pt idx="7">
                  <c:v>9.9132784784529457E-2</c:v>
                </c:pt>
                <c:pt idx="8">
                  <c:v>0.10654706067010367</c:v>
                </c:pt>
                <c:pt idx="9">
                  <c:v>0.10229568429433826</c:v>
                </c:pt>
                <c:pt idx="10">
                  <c:v>0.10128901901521949</c:v>
                </c:pt>
                <c:pt idx="11">
                  <c:v>9.7524460703468319E-2</c:v>
                </c:pt>
                <c:pt idx="12">
                  <c:v>0.11196718581041049</c:v>
                </c:pt>
                <c:pt idx="13">
                  <c:v>0.10176467943589296</c:v>
                </c:pt>
                <c:pt idx="14">
                  <c:v>0.10247269978320959</c:v>
                </c:pt>
                <c:pt idx="15">
                  <c:v>0.10213519038479316</c:v>
                </c:pt>
                <c:pt idx="16">
                  <c:v>0.10312491276503136</c:v>
                </c:pt>
                <c:pt idx="17">
                  <c:v>0.11349056603773584</c:v>
                </c:pt>
                <c:pt idx="18">
                  <c:v>0.10893489512394443</c:v>
                </c:pt>
                <c:pt idx="19">
                  <c:v>0.10565656565656566</c:v>
                </c:pt>
                <c:pt idx="20">
                  <c:v>9.7540784027270511E-2</c:v>
                </c:pt>
                <c:pt idx="21">
                  <c:v>9.6166809944876724E-2</c:v>
                </c:pt>
                <c:pt idx="22">
                  <c:v>0.10099432574349934</c:v>
                </c:pt>
                <c:pt idx="23">
                  <c:v>0.10261197081306792</c:v>
                </c:pt>
                <c:pt idx="24">
                  <c:v>0.11091963152203409</c:v>
                </c:pt>
                <c:pt idx="25">
                  <c:v>0.11091963152203409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90-43FD-9BCD-87A939A95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766351"/>
        <c:axId val="1550197487"/>
      </c:lineChart>
      <c:catAx>
        <c:axId val="88481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807744"/>
        <c:crosses val="autoZero"/>
        <c:auto val="1"/>
        <c:lblAlgn val="ctr"/>
        <c:lblOffset val="100"/>
        <c:tickMarkSkip val="5"/>
        <c:noMultiLvlLbl val="0"/>
      </c:catAx>
      <c:valAx>
        <c:axId val="884807744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rgbClr val="00B0F0"/>
                    </a:solidFill>
                  </a:rPr>
                  <a:t>J</a:t>
                </a:r>
                <a:r>
                  <a:rPr lang="en-GB" sz="1200" baseline="-25000">
                    <a:solidFill>
                      <a:srgbClr val="00B0F0"/>
                    </a:solidFill>
                  </a:rPr>
                  <a:t>W</a:t>
                </a:r>
                <a:r>
                  <a:rPr lang="en-GB" sz="1200" baseline="0">
                    <a:solidFill>
                      <a:srgbClr val="00B0F0"/>
                    </a:solidFill>
                  </a:rPr>
                  <a:t> [L/m</a:t>
                </a:r>
                <a:r>
                  <a:rPr lang="en-GB" sz="1200" baseline="30000">
                    <a:solidFill>
                      <a:srgbClr val="00B0F0"/>
                    </a:solidFill>
                  </a:rPr>
                  <a:t>2</a:t>
                </a:r>
                <a:r>
                  <a:rPr lang="en-GB" sz="1200" baseline="0">
                    <a:solidFill>
                      <a:srgbClr val="00B0F0"/>
                    </a:solidFill>
                  </a:rPr>
                  <a:t>h]   </a:t>
                </a:r>
                <a:r>
                  <a:rPr lang="en-GB" sz="1200" baseline="0">
                    <a:solidFill>
                      <a:schemeClr val="accent1">
                        <a:lumMod val="50000"/>
                      </a:schemeClr>
                    </a:solidFill>
                  </a:rPr>
                  <a:t>J</a:t>
                </a:r>
                <a:r>
                  <a:rPr lang="en-GB" sz="1200" baseline="-25000">
                    <a:solidFill>
                      <a:schemeClr val="accent1">
                        <a:lumMod val="50000"/>
                      </a:schemeClr>
                    </a:solidFill>
                  </a:rPr>
                  <a:t>S</a:t>
                </a:r>
                <a:r>
                  <a:rPr lang="en-GB" sz="1200" baseline="0">
                    <a:solidFill>
                      <a:schemeClr val="accent1">
                        <a:lumMod val="50000"/>
                      </a:schemeClr>
                    </a:solidFill>
                  </a:rPr>
                  <a:t> [g/m</a:t>
                </a:r>
                <a:r>
                  <a:rPr lang="en-GB" sz="1200" baseline="30000">
                    <a:solidFill>
                      <a:schemeClr val="accent1">
                        <a:lumMod val="50000"/>
                      </a:schemeClr>
                    </a:solidFill>
                  </a:rPr>
                  <a:t>2</a:t>
                </a:r>
                <a:r>
                  <a:rPr lang="en-GB" sz="1200" baseline="0">
                    <a:solidFill>
                      <a:schemeClr val="accent1">
                        <a:lumMod val="50000"/>
                      </a:schemeClr>
                    </a:solidFill>
                  </a:rPr>
                  <a:t>h]</a:t>
                </a:r>
                <a:endParaRPr lang="en-GB" sz="1200">
                  <a:solidFill>
                    <a:schemeClr val="accent1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810368"/>
        <c:crossesAt val="1"/>
        <c:crossBetween val="between"/>
        <c:majorUnit val="1"/>
      </c:valAx>
      <c:valAx>
        <c:axId val="1550197487"/>
        <c:scaling>
          <c:orientation val="minMax"/>
          <c:max val="0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chemeClr val="tx2">
                        <a:lumMod val="50000"/>
                      </a:schemeClr>
                    </a:solidFill>
                  </a:rPr>
                  <a:t>J</a:t>
                </a:r>
                <a:r>
                  <a:rPr lang="en-GB" sz="1200" baseline="-25000">
                    <a:solidFill>
                      <a:schemeClr val="tx2">
                        <a:lumMod val="50000"/>
                      </a:schemeClr>
                    </a:solidFill>
                  </a:rPr>
                  <a:t>S</a:t>
                </a:r>
                <a:r>
                  <a:rPr lang="en-GB" sz="1200">
                    <a:solidFill>
                      <a:schemeClr val="tx2">
                        <a:lumMod val="50000"/>
                      </a:schemeClr>
                    </a:solidFill>
                  </a:rPr>
                  <a:t>/J</a:t>
                </a:r>
                <a:r>
                  <a:rPr lang="en-GB" sz="1200" baseline="-25000">
                    <a:solidFill>
                      <a:schemeClr val="tx2">
                        <a:lumMod val="50000"/>
                      </a:schemeClr>
                    </a:solidFill>
                  </a:rPr>
                  <a:t>W</a:t>
                </a:r>
                <a:r>
                  <a:rPr lang="en-GB" sz="1200">
                    <a:solidFill>
                      <a:schemeClr val="tx2">
                        <a:lumMod val="50000"/>
                      </a:schemeClr>
                    </a:solidFill>
                  </a:rPr>
                  <a:t> [g/L]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7766351"/>
        <c:crosses val="max"/>
        <c:crossBetween val="between"/>
        <c:majorUnit val="5.000000000000001E-2"/>
      </c:valAx>
      <c:catAx>
        <c:axId val="1547766351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155019748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9823339783492"/>
          <c:y val="5.4408734985093285E-2"/>
          <c:w val="0.75452156841527374"/>
          <c:h val="0.59719850352342163"/>
        </c:manualLayout>
      </c:layout>
      <c:barChart>
        <c:barDir val="col"/>
        <c:grouping val="clustered"/>
        <c:varyColors val="0"/>
        <c:ser>
          <c:idx val="1"/>
          <c:order val="1"/>
          <c:tx>
            <c:v>Conductivity rejection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'RO - NaCl 0.5 M'!$B$30:$B$32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cat>
          <c:val>
            <c:numRef>
              <c:f>'RO - NaCl 0.5 M'!$D$30:$D$32</c:f>
              <c:numCache>
                <c:formatCode>General</c:formatCode>
                <c:ptCount val="3"/>
                <c:pt idx="0">
                  <c:v>97.2</c:v>
                </c:pt>
                <c:pt idx="1">
                  <c:v>98.9</c:v>
                </c:pt>
                <c:pt idx="2">
                  <c:v>99.2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3-4975-BC9A-5CE048ADF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6374832"/>
        <c:axId val="1946370512"/>
      </c:barChart>
      <c:lineChart>
        <c:grouping val="stacked"/>
        <c:varyColors val="0"/>
        <c:ser>
          <c:idx val="0"/>
          <c:order val="0"/>
          <c:tx>
            <c:v>Permeate flux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'RO - NaCl 0.5 M'!$B$30:$B$32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cat>
          <c:val>
            <c:numRef>
              <c:f>'RO - NaCl 0.5 M'!$C$30:$C$32</c:f>
              <c:numCache>
                <c:formatCode>General</c:formatCode>
                <c:ptCount val="3"/>
                <c:pt idx="0">
                  <c:v>5.7142857142857144</c:v>
                </c:pt>
                <c:pt idx="1">
                  <c:v>18.214285714285715</c:v>
                </c:pt>
                <c:pt idx="2">
                  <c:v>31.428571428571431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23-4975-BC9A-5CE048ADF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087807"/>
        <c:axId val="1533095487"/>
      </c:lineChart>
      <c:catAx>
        <c:axId val="194637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TMP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6370512"/>
        <c:crosses val="autoZero"/>
        <c:auto val="1"/>
        <c:lblAlgn val="ctr"/>
        <c:lblOffset val="100"/>
        <c:noMultiLvlLbl val="0"/>
      </c:catAx>
      <c:valAx>
        <c:axId val="19463705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rgbClr val="002060"/>
                    </a:solidFill>
                  </a:rPr>
                  <a:t>NaCl rejection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206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6374832"/>
        <c:crosses val="autoZero"/>
        <c:crossBetween val="between"/>
        <c:majorUnit val="20"/>
      </c:valAx>
      <c:valAx>
        <c:axId val="1533095487"/>
        <c:scaling>
          <c:orientation val="minMax"/>
          <c:max val="3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accent2"/>
                    </a:solidFill>
                  </a:rPr>
                  <a:t>Permeate flux (L/h·m</a:t>
                </a:r>
                <a:r>
                  <a:rPr lang="es-ES" baseline="30000">
                    <a:solidFill>
                      <a:schemeClr val="accent2"/>
                    </a:solidFill>
                  </a:rPr>
                  <a:t>2</a:t>
                </a:r>
                <a:r>
                  <a:rPr lang="es-ES">
                    <a:solidFill>
                      <a:schemeClr val="accent2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9326687606033448"/>
              <c:y val="0.11525876927161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87807"/>
        <c:crosses val="max"/>
        <c:crossBetween val="between"/>
        <c:majorUnit val="5"/>
      </c:valAx>
      <c:catAx>
        <c:axId val="1533087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3095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138916</xdr:colOff>
      <xdr:row>3</xdr:row>
      <xdr:rowOff>43577</xdr:rowOff>
    </xdr:from>
    <xdr:to>
      <xdr:col>15</xdr:col>
      <xdr:colOff>676800</xdr:colOff>
      <xdr:row>23</xdr:row>
      <xdr:rowOff>84399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4A34-4A22-4E59-AE94-A1BB0638B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315231</xdr:colOff>
      <xdr:row>26</xdr:row>
      <xdr:rowOff>35983</xdr:rowOff>
    </xdr:from>
    <xdr:to>
      <xdr:col>14</xdr:col>
      <xdr:colOff>634243</xdr:colOff>
      <xdr:row>42</xdr:row>
      <xdr:rowOff>19655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F93C47D-A7A7-B79E-9D7A-6A22D80BE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gres-my.sharepoint.com/personal/mamens_ms_ugr_es/Documents/Textil/TFM%20Laura%20G/LONG%20TERM%20TEST.%20PRE-PILOT.%20COLOSSUS/Figura%202%20Flujo%20FO%20con%20agua.xlsx" TargetMode="External"/><Relationship Id="rId1" Type="http://schemas.openxmlformats.org/officeDocument/2006/relationships/externalLinkPath" Target="/personal/mamens_ms_ugr_es/Documents/Textil/TFM%20Laura%20G/LONG%20TERM%20TEST.%20PRE-PILOT.%20COLOSSUS/Figura%202%20Flujo%20FO%20con%20agu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points"/>
      <sheetName val="Offline notes"/>
      <sheetName val="Online Data"/>
      <sheetName val="Calculations"/>
      <sheetName val="Graphs FO"/>
      <sheetName val="Result report"/>
    </sheetNames>
    <sheetDataSet>
      <sheetData sheetId="0">
        <row r="4">
          <cell r="Q4">
            <v>0.5</v>
          </cell>
        </row>
        <row r="5">
          <cell r="H5">
            <v>13.8</v>
          </cell>
        </row>
      </sheetData>
      <sheetData sheetId="1">
        <row r="5">
          <cell r="F5">
            <v>7.3313333333333341E-2</v>
          </cell>
        </row>
        <row r="9">
          <cell r="F9">
            <v>7.3313333333333341E-2</v>
          </cell>
        </row>
        <row r="13">
          <cell r="F13">
            <v>7.3313333333333341E-2</v>
          </cell>
        </row>
        <row r="17">
          <cell r="F17">
            <v>7.3313333333333341E-2</v>
          </cell>
        </row>
        <row r="21">
          <cell r="F21">
            <v>7.3313333333333341E-2</v>
          </cell>
        </row>
        <row r="25">
          <cell r="F25">
            <v>7.4796666666666664E-2</v>
          </cell>
        </row>
        <row r="29">
          <cell r="F29">
            <v>7.4796666666666664E-2</v>
          </cell>
        </row>
        <row r="33">
          <cell r="F33">
            <v>7.4796666666666664E-2</v>
          </cell>
        </row>
        <row r="37">
          <cell r="F37">
            <v>7.4796666666666664E-2</v>
          </cell>
        </row>
        <row r="41">
          <cell r="F41">
            <v>7.4796666666666664E-2</v>
          </cell>
        </row>
        <row r="45">
          <cell r="F45">
            <v>7.6893333333333327E-2</v>
          </cell>
        </row>
        <row r="49">
          <cell r="F49">
            <v>7.3733333333333331E-2</v>
          </cell>
        </row>
        <row r="53">
          <cell r="F53">
            <v>7.3733333333333331E-2</v>
          </cell>
        </row>
        <row r="57">
          <cell r="F57">
            <v>7.3733333333333331E-2</v>
          </cell>
        </row>
        <row r="61">
          <cell r="F61">
            <v>7.3733333333333331E-2</v>
          </cell>
        </row>
        <row r="65">
          <cell r="F65">
            <v>7.3733333333333331E-2</v>
          </cell>
        </row>
        <row r="69">
          <cell r="F69">
            <v>7.5116666666666665E-2</v>
          </cell>
        </row>
      </sheetData>
      <sheetData sheetId="2">
        <row r="2">
          <cell r="B2">
            <v>600.44960000000003</v>
          </cell>
          <cell r="G2">
            <v>401.63420000000002</v>
          </cell>
          <cell r="R2">
            <v>292.98239999999998</v>
          </cell>
        </row>
        <row r="6">
          <cell r="B6">
            <v>720.60109999999997</v>
          </cell>
          <cell r="G6">
            <v>393.26560000000001</v>
          </cell>
          <cell r="R6">
            <v>290.71519999999998</v>
          </cell>
        </row>
        <row r="10">
          <cell r="B10">
            <v>840.60019999999997</v>
          </cell>
          <cell r="G10">
            <v>389.68150000000003</v>
          </cell>
          <cell r="R10">
            <v>289.37439999999998</v>
          </cell>
        </row>
        <row r="14">
          <cell r="B14">
            <v>960.65070000000003</v>
          </cell>
          <cell r="G14">
            <v>394.93430000000001</v>
          </cell>
          <cell r="R14">
            <v>292.30520000000001</v>
          </cell>
        </row>
        <row r="18">
          <cell r="B18">
            <v>1080.7012999999999</v>
          </cell>
          <cell r="G18">
            <v>396.05029999999999</v>
          </cell>
          <cell r="R18">
            <v>292.07830000000001</v>
          </cell>
        </row>
        <row r="22">
          <cell r="B22">
            <v>1200.8497</v>
          </cell>
          <cell r="G22">
            <v>395.3587</v>
          </cell>
          <cell r="R22">
            <v>292.9708</v>
          </cell>
        </row>
        <row r="26">
          <cell r="B26">
            <v>1321.0011</v>
          </cell>
          <cell r="G26">
            <v>388.96530000000001</v>
          </cell>
          <cell r="R26">
            <v>291.50779999999997</v>
          </cell>
        </row>
        <row r="30">
          <cell r="B30">
            <v>1441.0497</v>
          </cell>
          <cell r="G30">
            <v>400.7878</v>
          </cell>
          <cell r="R30">
            <v>291.00479999999999</v>
          </cell>
        </row>
        <row r="34">
          <cell r="B34">
            <v>1561.0494000000001</v>
          </cell>
          <cell r="G34">
            <v>399.93700000000001</v>
          </cell>
          <cell r="R34">
            <v>296.02969999999999</v>
          </cell>
        </row>
        <row r="38">
          <cell r="B38">
            <v>1681.201</v>
          </cell>
          <cell r="G38">
            <v>407.28559999999999</v>
          </cell>
          <cell r="R38">
            <v>298.24869999999999</v>
          </cell>
        </row>
        <row r="42">
          <cell r="B42">
            <v>1801.1496999999999</v>
          </cell>
          <cell r="G42">
            <v>409.82560000000001</v>
          </cell>
          <cell r="R42">
            <v>297.0668</v>
          </cell>
        </row>
        <row r="46">
          <cell r="G46">
            <v>404.26369999999997</v>
          </cell>
          <cell r="R46">
            <v>293.3646</v>
          </cell>
        </row>
        <row r="50">
          <cell r="G50">
            <v>396.3646</v>
          </cell>
          <cell r="R50">
            <v>298.18369999999999</v>
          </cell>
        </row>
        <row r="54">
          <cell r="G54">
            <v>400.9117</v>
          </cell>
          <cell r="R54">
            <v>294.29599999999999</v>
          </cell>
        </row>
        <row r="58">
          <cell r="G58">
            <v>397.55599999999998</v>
          </cell>
          <cell r="R58">
            <v>292.36989999999997</v>
          </cell>
        </row>
        <row r="62">
          <cell r="G62">
            <v>402.31310000000002</v>
          </cell>
          <cell r="R62">
            <v>295.60989999999998</v>
          </cell>
        </row>
        <row r="66">
          <cell r="G66">
            <v>401.61680000000001</v>
          </cell>
          <cell r="R66">
            <v>294.39679999999998</v>
          </cell>
        </row>
      </sheetData>
      <sheetData sheetId="3">
        <row r="2">
          <cell r="A2">
            <v>0</v>
          </cell>
          <cell r="B2">
            <v>7.8733188405797128</v>
          </cell>
          <cell r="C2">
            <v>0.77824334608695656</v>
          </cell>
          <cell r="D2">
            <v>9.884565350965191E-2</v>
          </cell>
        </row>
        <row r="3">
          <cell r="A3">
            <v>2.002524999999999</v>
          </cell>
          <cell r="B3">
            <v>7.4311884057971032</v>
          </cell>
          <cell r="C3">
            <v>0.77222102763285017</v>
          </cell>
          <cell r="D3">
            <v>0.10391622247532267</v>
          </cell>
        </row>
        <row r="4">
          <cell r="A4">
            <v>4.0025099999999991</v>
          </cell>
          <cell r="B4">
            <v>7.2686304347826116</v>
          </cell>
          <cell r="C4">
            <v>0.7686594871497584</v>
          </cell>
          <cell r="D4">
            <v>0.105750250208277</v>
          </cell>
        </row>
        <row r="5">
          <cell r="A5">
            <v>6.0033516666666662</v>
          </cell>
          <cell r="B5">
            <v>7.4368913043478253</v>
          </cell>
          <cell r="C5">
            <v>0.77644451314009666</v>
          </cell>
          <cell r="D5">
            <v>0.10440444553575287</v>
          </cell>
        </row>
        <row r="6">
          <cell r="A6">
            <v>8.0041949999999993</v>
          </cell>
          <cell r="B6">
            <v>7.5342028985507232</v>
          </cell>
          <cell r="C6">
            <v>0.77584180316425133</v>
          </cell>
          <cell r="D6">
            <v>0.10297596356390827</v>
          </cell>
        </row>
        <row r="7">
          <cell r="A7">
            <v>10.006668333333332</v>
          </cell>
          <cell r="B7">
            <v>7.4194130434782606</v>
          </cell>
          <cell r="C7">
            <v>0.79395794458937186</v>
          </cell>
          <cell r="D7">
            <v>0.10701088346702425</v>
          </cell>
        </row>
        <row r="8">
          <cell r="A8">
            <v>12.009191666666664</v>
          </cell>
          <cell r="B8">
            <v>7.062137681159423</v>
          </cell>
          <cell r="C8">
            <v>0.7899931792512076</v>
          </cell>
          <cell r="D8">
            <v>0.11186318009046672</v>
          </cell>
        </row>
        <row r="9">
          <cell r="A9">
            <v>14.010001666666666</v>
          </cell>
          <cell r="B9">
            <v>7.9552898550724649</v>
          </cell>
          <cell r="C9">
            <v>0.78863003710144919</v>
          </cell>
          <cell r="D9">
            <v>9.9132784784529457E-2</v>
          </cell>
        </row>
        <row r="10">
          <cell r="A10">
            <v>16.00999666666667</v>
          </cell>
          <cell r="B10">
            <v>7.5295144927536244</v>
          </cell>
          <cell r="C10">
            <v>0.80224763747584527</v>
          </cell>
          <cell r="D10">
            <v>0.10654706067010367</v>
          </cell>
        </row>
        <row r="11">
          <cell r="A11">
            <v>18.012523333333334</v>
          </cell>
          <cell r="B11">
            <v>7.9012246376811595</v>
          </cell>
          <cell r="C11">
            <v>0.8082611810748791</v>
          </cell>
          <cell r="D11">
            <v>0.10229568429433826</v>
          </cell>
        </row>
        <row r="12">
          <cell r="A12">
            <v>20.011668333333333</v>
          </cell>
          <cell r="B12">
            <v>8.1709275362318845</v>
          </cell>
          <cell r="C12">
            <v>0.82762523458937187</v>
          </cell>
          <cell r="D12">
            <v>0.10128901901521949</v>
          </cell>
        </row>
        <row r="13">
          <cell r="A13">
            <v>22.01</v>
          </cell>
          <cell r="B13">
            <v>8.0361666666666647</v>
          </cell>
          <cell r="C13">
            <v>0.78372282028985507</v>
          </cell>
          <cell r="D13">
            <v>9.7524460703468319E-2</v>
          </cell>
        </row>
        <row r="14">
          <cell r="A14">
            <v>24.02</v>
          </cell>
          <cell r="B14">
            <v>7.1145579710144933</v>
          </cell>
          <cell r="C14">
            <v>0.79659703429951678</v>
          </cell>
          <cell r="D14">
            <v>0.11196718581041049</v>
          </cell>
        </row>
        <row r="15">
          <cell r="A15">
            <v>26.02</v>
          </cell>
          <cell r="B15">
            <v>7.7257753623188403</v>
          </cell>
          <cell r="C15">
            <v>0.78621105314009654</v>
          </cell>
          <cell r="D15">
            <v>0.10176467943589296</v>
          </cell>
        </row>
        <row r="16">
          <cell r="A16">
            <v>28.02</v>
          </cell>
          <cell r="B16">
            <v>7.6221811594202906</v>
          </cell>
          <cell r="C16">
            <v>0.78106548164251188</v>
          </cell>
          <cell r="D16">
            <v>0.10247269978320959</v>
          </cell>
        </row>
        <row r="17">
          <cell r="A17">
            <v>30.02</v>
          </cell>
          <cell r="B17">
            <v>7.7321159420289876</v>
          </cell>
          <cell r="C17">
            <v>0.78972113381642495</v>
          </cell>
          <cell r="D17">
            <v>0.10213519038479316</v>
          </cell>
        </row>
        <row r="18">
          <cell r="A18">
            <v>32.020000000000003</v>
          </cell>
          <cell r="B18">
            <v>7.7695652173913059</v>
          </cell>
          <cell r="C18">
            <v>0.80123573526570036</v>
          </cell>
          <cell r="D18">
            <v>0.10312491276503136</v>
          </cell>
        </row>
        <row r="19">
          <cell r="A19">
            <v>34.020000000000003</v>
          </cell>
          <cell r="B19">
            <v>7.42</v>
          </cell>
          <cell r="C19">
            <v>0.84209999999999996</v>
          </cell>
          <cell r="D19">
            <v>0.11349056603773584</v>
          </cell>
        </row>
        <row r="20">
          <cell r="A20">
            <v>36.020000000000003</v>
          </cell>
          <cell r="B20">
            <v>7.3419999999999996</v>
          </cell>
          <cell r="C20">
            <v>0.79979999999999996</v>
          </cell>
          <cell r="D20">
            <v>0.10893489512394443</v>
          </cell>
        </row>
        <row r="21">
          <cell r="A21">
            <v>38.020000000000003</v>
          </cell>
          <cell r="B21">
            <v>7.4249999999999998</v>
          </cell>
          <cell r="C21">
            <v>0.78449999999999998</v>
          </cell>
          <cell r="D21">
            <v>0.10565656565656566</v>
          </cell>
        </row>
        <row r="22">
          <cell r="A22">
            <v>40.020000000000003</v>
          </cell>
          <cell r="B22">
            <v>8.2140000000000004</v>
          </cell>
          <cell r="C22">
            <v>0.80120000000000002</v>
          </cell>
          <cell r="D22">
            <v>9.7540784027270511E-2</v>
          </cell>
        </row>
        <row r="23">
          <cell r="A23">
            <v>42</v>
          </cell>
          <cell r="B23">
            <v>8.3900652173913031</v>
          </cell>
          <cell r="C23">
            <v>0.8068458071859903</v>
          </cell>
          <cell r="D23">
            <v>9.6166809944876724E-2</v>
          </cell>
        </row>
        <row r="24">
          <cell r="A24">
            <v>44</v>
          </cell>
          <cell r="B24">
            <v>7.9753260869565228</v>
          </cell>
          <cell r="C24">
            <v>0.80546268073671501</v>
          </cell>
          <cell r="D24">
            <v>0.10099432574349934</v>
          </cell>
        </row>
        <row r="25">
          <cell r="A25">
            <v>46</v>
          </cell>
          <cell r="B25">
            <v>7.6878260869565205</v>
          </cell>
          <cell r="C25">
            <v>0.78886298605072458</v>
          </cell>
          <cell r="D25">
            <v>0.10261197081306792</v>
          </cell>
        </row>
        <row r="26">
          <cell r="A26">
            <v>48</v>
          </cell>
          <cell r="B26">
            <v>7.2641159420289849</v>
          </cell>
          <cell r="C26">
            <v>0.80573306362318853</v>
          </cell>
          <cell r="D26">
            <v>0.11091963152203409</v>
          </cell>
        </row>
        <row r="27">
          <cell r="A27">
            <v>50</v>
          </cell>
          <cell r="B27">
            <v>7.124159420289855</v>
          </cell>
          <cell r="C27">
            <v>0.79849999999999999</v>
          </cell>
          <cell r="D27">
            <v>0.11091963152203409</v>
          </cell>
        </row>
      </sheetData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ura Garcia" id="{8B011FAB-3095-41A7-9AE9-C5743044A571}" userId="10a49c1053e56be2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0-09-02T11:33:26.25" personId="{8B011FAB-3095-41A7-9AE9-C5743044A571}" id="{B767867D-C000-4A2D-A775-B989790153C1}">
    <text>1. Comprobar que la membrana está bien. Para ello validamos (añadir captura de la hoja data sheet SW3 -2540 ) queremos la que mayor rejection tenga (no podemos llegar a 55 bar aunque lo diga el fabricante por la bomba).</text>
  </threadedComment>
  <threadedComment ref="B11" dT="2020-09-02T11:36:13.43" personId="{8B011FAB-3095-41A7-9AE9-C5743044A571}" id="{4B6180D6-28A3-47F4-971E-E8D3085E326E}" parentId="{B767867D-C000-4A2D-A775-B989790153C1}">
    <text>Para conseguir lo de la data sheet tenemos limitaciones del sistema piloto.
no podemos trabajr a partir de 700 con presiones de alrededor de 50 bar. Esto nos limitó apra trabajar a flujos inferiores de 700 y por tanto el flujo de permeado.</text>
  </threadedComment>
  <threadedComment ref="B11" dT="2020-09-02T11:36:40.40" personId="{8B011FAB-3095-41A7-9AE9-C5743044A571}" id="{916EF3F4-895A-41F4-B8F6-3F7FF637C821}" parentId="{B767867D-C000-4A2D-A775-B989790153C1}">
    <text>Esto es a 32000 ppm entonces una vez teníamos esta orientacion hcimos los 0.7 M</text>
  </threadedComment>
  <threadedComment ref="B11" dT="2020-09-02T11:37:48.90" personId="{8B011FAB-3095-41A7-9AE9-C5743044A571}" id="{F112A373-C3A0-4F75-B59E-CC1C5951A1CB}" parentId="{B767867D-C000-4A2D-A775-B989790153C1}">
    <text>Con 0.5 YA TENEMOS UNA BUENA orientacion de que el flujo de permeado puedde estar alrededor de 50-90 L/hr. a una concentracion mayor de sal perderé flujo (expected). pero no obstante ya se que voy a estar en el rango de FO que vpy a estar trabajando voy a tener alredor de 82.8 L/hr (6 lm^2h)</text>
  </threadedComment>
  <threadedComment ref="B11" dT="2020-09-02T11:40:37.71" personId="{8B011FAB-3095-41A7-9AE9-C5743044A571}" id="{BB19FA36-28CA-4F4D-A378-F6855F06A13E}" parentId="{B767867D-C000-4A2D-A775-B989790153C1}">
    <text>aquí ya empezamos el 0.7 M con esta referencia (la que hicimos end of pipe application)</text>
  </threadedComment>
  <threadedComment ref="B11" dT="2020-09-02T11:43:40.01" personId="{8B011FAB-3095-41A7-9AE9-C5743044A571}" id="{F40C7E8B-5510-4FC7-8D96-8FED9E7DE65C}" parentId="{B767867D-C000-4A2D-A775-B989790153C1}">
    <text>Hcer una hoja con QC con los que hemos epxplciado y poner los graficos de 40 y 50 bar.</text>
  </threadedComment>
  <threadedComment ref="B11" dT="2020-09-02T11:45:14.74" personId="{8B011FAB-3095-41A7-9AE9-C5743044A571}" id="{17F10529-5D19-485D-AAED-77368D488E6B}" parentId="{B767867D-C000-4A2D-A775-B989790153C1}">
    <text>para 0.7 hacer un gráfico tiempo-permeado (linea) y rejection (barras)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1DF4-82E1-43EE-A253-9956B79AD60E}">
  <dimension ref="A1:I3732"/>
  <sheetViews>
    <sheetView tabSelected="1" zoomScale="60" zoomScaleNormal="60" zoomScalePageLayoutView="90" workbookViewId="0">
      <pane ySplit="1" topLeftCell="A2" activePane="bottomLeft" state="frozen"/>
      <selection pane="bottomLeft" activeCell="B32" sqref="B32:C32"/>
    </sheetView>
  </sheetViews>
  <sheetFormatPr baseColWidth="10" defaultColWidth="11.42578125" defaultRowHeight="15" x14ac:dyDescent="0.25"/>
  <cols>
    <col min="1" max="1" width="11.42578125" style="82"/>
    <col min="2" max="2" width="39.42578125" style="89" customWidth="1"/>
    <col min="3" max="4" width="34.42578125" style="89" customWidth="1"/>
    <col min="5" max="5" width="11.42578125" style="82"/>
    <col min="6" max="6" width="18.85546875" style="82" bestFit="1" customWidth="1"/>
    <col min="7" max="16384" width="11.42578125" style="82"/>
  </cols>
  <sheetData>
    <row r="1" spans="1:9" x14ac:dyDescent="0.25">
      <c r="A1" s="79" t="s">
        <v>15</v>
      </c>
      <c r="B1" s="80" t="s">
        <v>16</v>
      </c>
      <c r="C1" s="80" t="s">
        <v>17</v>
      </c>
      <c r="D1" s="81" t="s">
        <v>18</v>
      </c>
    </row>
    <row r="2" spans="1:9" x14ac:dyDescent="0.25">
      <c r="A2" s="83">
        <v>0</v>
      </c>
      <c r="B2" s="84">
        <f>+('[1]Online Data'!G2-'[1]Online Data'!R2)/[1]Setpoints!$H$5</f>
        <v>7.8733188405797128</v>
      </c>
      <c r="C2" s="85">
        <f>+[1]Setpoints!$Q$4*'[1]Offline notes'!F5*1000/1000*'[1]Online Data'!R2/[1]Setpoints!$H$5</f>
        <v>0.77824334608695656</v>
      </c>
      <c r="D2" s="86">
        <f>+C2/B2</f>
        <v>9.884565350965191E-2</v>
      </c>
      <c r="I2" s="82" t="s">
        <v>21</v>
      </c>
    </row>
    <row r="3" spans="1:9" x14ac:dyDescent="0.25">
      <c r="A3" s="83">
        <f>('[1]Online Data'!B6-'[1]Online Data'!$B$2)/60</f>
        <v>2.002524999999999</v>
      </c>
      <c r="B3" s="84">
        <f>+('[1]Online Data'!G6-'[1]Online Data'!R6)/[1]Setpoints!$H$5</f>
        <v>7.4311884057971032</v>
      </c>
      <c r="C3" s="85">
        <f>+[1]Setpoints!$Q$4*'[1]Offline notes'!F9*1000/1000*'[1]Online Data'!R6/[1]Setpoints!$H$5</f>
        <v>0.77222102763285017</v>
      </c>
      <c r="D3" s="86">
        <f t="shared" ref="D3:D22" si="0">+C3/B3</f>
        <v>0.10391622247532267</v>
      </c>
      <c r="I3" s="82" t="s">
        <v>22</v>
      </c>
    </row>
    <row r="4" spans="1:9" x14ac:dyDescent="0.25">
      <c r="A4" s="83">
        <f>('[1]Online Data'!B10-'[1]Online Data'!$B$2)/60</f>
        <v>4.0025099999999991</v>
      </c>
      <c r="B4" s="84">
        <f>+('[1]Online Data'!G10-'[1]Online Data'!R10)/[1]Setpoints!$H$5</f>
        <v>7.2686304347826116</v>
      </c>
      <c r="C4" s="85">
        <f>+[1]Setpoints!$Q$4*'[1]Offline notes'!F13*1000/1000*'[1]Online Data'!R10/[1]Setpoints!$H$5</f>
        <v>0.7686594871497584</v>
      </c>
      <c r="D4" s="86">
        <f t="shared" si="0"/>
        <v>0.105750250208277</v>
      </c>
    </row>
    <row r="5" spans="1:9" x14ac:dyDescent="0.25">
      <c r="A5" s="83">
        <f>('[1]Online Data'!B14-'[1]Online Data'!$B$2)/60</f>
        <v>6.0033516666666662</v>
      </c>
      <c r="B5" s="84">
        <f>+('[1]Online Data'!G14-'[1]Online Data'!R14)/[1]Setpoints!$H$5</f>
        <v>7.4368913043478253</v>
      </c>
      <c r="C5" s="85">
        <f>+[1]Setpoints!$Q$4*'[1]Offline notes'!F17*1000/1000*'[1]Online Data'!R14/[1]Setpoints!$H$5</f>
        <v>0.77644451314009666</v>
      </c>
      <c r="D5" s="86">
        <f t="shared" si="0"/>
        <v>0.10440444553575287</v>
      </c>
    </row>
    <row r="6" spans="1:9" x14ac:dyDescent="0.25">
      <c r="A6" s="83">
        <f>('[1]Online Data'!B18-'[1]Online Data'!$B$2)/60</f>
        <v>8.0041949999999993</v>
      </c>
      <c r="B6" s="84">
        <f>+('[1]Online Data'!G18-'[1]Online Data'!R18)/[1]Setpoints!$H$5</f>
        <v>7.5342028985507232</v>
      </c>
      <c r="C6" s="85">
        <f>+[1]Setpoints!$Q$4*'[1]Offline notes'!F21*1000/1000*'[1]Online Data'!R18/[1]Setpoints!$H$5</f>
        <v>0.77584180316425133</v>
      </c>
      <c r="D6" s="86">
        <f t="shared" si="0"/>
        <v>0.10297596356390827</v>
      </c>
    </row>
    <row r="7" spans="1:9" x14ac:dyDescent="0.25">
      <c r="A7" s="83">
        <f>('[1]Online Data'!B22-'[1]Online Data'!$B$2)/60</f>
        <v>10.006668333333332</v>
      </c>
      <c r="B7" s="84">
        <f>+('[1]Online Data'!G22-'[1]Online Data'!R22)/[1]Setpoints!$H$5</f>
        <v>7.4194130434782606</v>
      </c>
      <c r="C7" s="85">
        <f>+[1]Setpoints!$Q$4*'[1]Offline notes'!F25*1000/1000*'[1]Online Data'!R22/[1]Setpoints!$H$5</f>
        <v>0.79395794458937186</v>
      </c>
      <c r="D7" s="86">
        <f t="shared" si="0"/>
        <v>0.10701088346702425</v>
      </c>
    </row>
    <row r="8" spans="1:9" x14ac:dyDescent="0.25">
      <c r="A8" s="83">
        <f>('[1]Online Data'!B26-'[1]Online Data'!$B$2)/60</f>
        <v>12.009191666666664</v>
      </c>
      <c r="B8" s="84">
        <f>+('[1]Online Data'!G26-'[1]Online Data'!R26)/[1]Setpoints!$H$5</f>
        <v>7.062137681159423</v>
      </c>
      <c r="C8" s="85">
        <f>+[1]Setpoints!$Q$4*'[1]Offline notes'!F29*1000/1000*'[1]Online Data'!R26/[1]Setpoints!$H$5</f>
        <v>0.7899931792512076</v>
      </c>
      <c r="D8" s="86">
        <f t="shared" si="0"/>
        <v>0.11186318009046672</v>
      </c>
    </row>
    <row r="9" spans="1:9" x14ac:dyDescent="0.25">
      <c r="A9" s="83">
        <f>('[1]Online Data'!B30-'[1]Online Data'!$B$2)/60</f>
        <v>14.010001666666666</v>
      </c>
      <c r="B9" s="84">
        <f>+('[1]Online Data'!G30-'[1]Online Data'!R30)/[1]Setpoints!$H$5</f>
        <v>7.9552898550724649</v>
      </c>
      <c r="C9" s="85">
        <f>+[1]Setpoints!$Q$4*'[1]Offline notes'!F33*1000/1000*'[1]Online Data'!R30/[1]Setpoints!$H$5</f>
        <v>0.78863003710144919</v>
      </c>
      <c r="D9" s="86">
        <f t="shared" si="0"/>
        <v>9.9132784784529457E-2</v>
      </c>
    </row>
    <row r="10" spans="1:9" x14ac:dyDescent="0.25">
      <c r="A10" s="83">
        <f>('[1]Online Data'!B34-'[1]Online Data'!$B$2)/60</f>
        <v>16.00999666666667</v>
      </c>
      <c r="B10" s="84">
        <f>+('[1]Online Data'!G34-'[1]Online Data'!R34)/[1]Setpoints!$H$5</f>
        <v>7.5295144927536244</v>
      </c>
      <c r="C10" s="85">
        <f>+[1]Setpoints!$Q$4*'[1]Offline notes'!F37*1000/1000*'[1]Online Data'!R34/[1]Setpoints!$H$5</f>
        <v>0.80224763747584527</v>
      </c>
      <c r="D10" s="86">
        <f t="shared" si="0"/>
        <v>0.10654706067010367</v>
      </c>
    </row>
    <row r="11" spans="1:9" x14ac:dyDescent="0.25">
      <c r="A11" s="83">
        <f>('[1]Online Data'!B38-'[1]Online Data'!$B$2)/60</f>
        <v>18.012523333333334</v>
      </c>
      <c r="B11" s="84">
        <f>+('[1]Online Data'!G38-'[1]Online Data'!R38)/[1]Setpoints!$H$5</f>
        <v>7.9012246376811595</v>
      </c>
      <c r="C11" s="85">
        <f>+[1]Setpoints!$Q$4*'[1]Offline notes'!F41*1000/1000*'[1]Online Data'!R38/[1]Setpoints!$H$5</f>
        <v>0.8082611810748791</v>
      </c>
      <c r="D11" s="86">
        <f t="shared" si="0"/>
        <v>0.10229568429433826</v>
      </c>
    </row>
    <row r="12" spans="1:9" x14ac:dyDescent="0.25">
      <c r="A12" s="83">
        <f>('[1]Online Data'!B42-'[1]Online Data'!$B$2)/60</f>
        <v>20.011668333333333</v>
      </c>
      <c r="B12" s="84">
        <f>+('[1]Online Data'!G42-'[1]Online Data'!R42)/[1]Setpoints!$H$5</f>
        <v>8.1709275362318845</v>
      </c>
      <c r="C12" s="85">
        <f>+[1]Setpoints!$Q$4*'[1]Offline notes'!F45*1000/1000*'[1]Online Data'!R42/[1]Setpoints!$H$5</f>
        <v>0.82762523458937187</v>
      </c>
      <c r="D12" s="86">
        <f t="shared" si="0"/>
        <v>0.10128901901521949</v>
      </c>
    </row>
    <row r="13" spans="1:9" x14ac:dyDescent="0.25">
      <c r="A13" s="83">
        <v>22.01</v>
      </c>
      <c r="B13" s="84">
        <f>+('[1]Online Data'!G46-'[1]Online Data'!R46)/[1]Setpoints!$H$5</f>
        <v>8.0361666666666647</v>
      </c>
      <c r="C13" s="85">
        <f>+[1]Setpoints!$Q$4*'[1]Offline notes'!F49*1000/1000*'[1]Online Data'!R46/[1]Setpoints!$H$5</f>
        <v>0.78372282028985507</v>
      </c>
      <c r="D13" s="86">
        <f t="shared" si="0"/>
        <v>9.7524460703468319E-2</v>
      </c>
    </row>
    <row r="14" spans="1:9" x14ac:dyDescent="0.25">
      <c r="A14" s="83">
        <v>24.02</v>
      </c>
      <c r="B14" s="84">
        <f>+('[1]Online Data'!G50-'[1]Online Data'!R50)/[1]Setpoints!$H$5</f>
        <v>7.1145579710144933</v>
      </c>
      <c r="C14" s="85">
        <f>+[1]Setpoints!$Q$4*'[1]Offline notes'!F53*1000/1000*'[1]Online Data'!R50/[1]Setpoints!$H$5</f>
        <v>0.79659703429951678</v>
      </c>
      <c r="D14" s="86">
        <f t="shared" si="0"/>
        <v>0.11196718581041049</v>
      </c>
    </row>
    <row r="15" spans="1:9" x14ac:dyDescent="0.25">
      <c r="A15" s="83">
        <v>26.02</v>
      </c>
      <c r="B15" s="84">
        <f>+('[1]Online Data'!G54-'[1]Online Data'!R54)/[1]Setpoints!$H$5</f>
        <v>7.7257753623188403</v>
      </c>
      <c r="C15" s="85">
        <f>+[1]Setpoints!$Q$4*'[1]Offline notes'!F57*1000/1000*'[1]Online Data'!R54/[1]Setpoints!$H$5</f>
        <v>0.78621105314009654</v>
      </c>
      <c r="D15" s="86">
        <f t="shared" si="0"/>
        <v>0.10176467943589296</v>
      </c>
    </row>
    <row r="16" spans="1:9" x14ac:dyDescent="0.25">
      <c r="A16" s="83">
        <v>28.02</v>
      </c>
      <c r="B16" s="84">
        <f>+('[1]Online Data'!G58-'[1]Online Data'!R58)/[1]Setpoints!$H$5</f>
        <v>7.6221811594202906</v>
      </c>
      <c r="C16" s="85">
        <f>+[1]Setpoints!$Q$4*'[1]Offline notes'!F61*1000/1000*'[1]Online Data'!R58/[1]Setpoints!$H$5</f>
        <v>0.78106548164251188</v>
      </c>
      <c r="D16" s="86">
        <f t="shared" si="0"/>
        <v>0.10247269978320959</v>
      </c>
    </row>
    <row r="17" spans="1:4" x14ac:dyDescent="0.25">
      <c r="A17" s="83">
        <v>30.02</v>
      </c>
      <c r="B17" s="84">
        <f>+('[1]Online Data'!G62-'[1]Online Data'!R62)/[1]Setpoints!$H$5</f>
        <v>7.7321159420289876</v>
      </c>
      <c r="C17" s="85">
        <f>+[1]Setpoints!$Q$4*'[1]Offline notes'!F65*1000/1000*'[1]Online Data'!R62/[1]Setpoints!$H$5</f>
        <v>0.78972113381642495</v>
      </c>
      <c r="D17" s="86">
        <f t="shared" si="0"/>
        <v>0.10213519038479316</v>
      </c>
    </row>
    <row r="18" spans="1:4" x14ac:dyDescent="0.25">
      <c r="A18" s="83">
        <v>32.020000000000003</v>
      </c>
      <c r="B18" s="84">
        <f>+('[1]Online Data'!G66-'[1]Online Data'!R66)/[1]Setpoints!$H$5</f>
        <v>7.7695652173913059</v>
      </c>
      <c r="C18" s="85">
        <f>+[1]Setpoints!$Q$4*'[1]Offline notes'!F69*1000/1000*'[1]Online Data'!R66/[1]Setpoints!$H$5</f>
        <v>0.80123573526570036</v>
      </c>
      <c r="D18" s="86">
        <f t="shared" si="0"/>
        <v>0.10312491276503136</v>
      </c>
    </row>
    <row r="19" spans="1:4" x14ac:dyDescent="0.25">
      <c r="A19" s="83">
        <v>34.020000000000003</v>
      </c>
      <c r="B19" s="84">
        <v>7.42</v>
      </c>
      <c r="C19" s="85">
        <v>0.84209999999999996</v>
      </c>
      <c r="D19" s="86">
        <f t="shared" si="0"/>
        <v>0.11349056603773584</v>
      </c>
    </row>
    <row r="20" spans="1:4" x14ac:dyDescent="0.25">
      <c r="A20" s="83">
        <v>36.020000000000003</v>
      </c>
      <c r="B20" s="84">
        <v>7.3419999999999996</v>
      </c>
      <c r="C20" s="85">
        <v>0.79979999999999996</v>
      </c>
      <c r="D20" s="86">
        <f t="shared" si="0"/>
        <v>0.10893489512394443</v>
      </c>
    </row>
    <row r="21" spans="1:4" x14ac:dyDescent="0.25">
      <c r="A21" s="83">
        <v>38.020000000000003</v>
      </c>
      <c r="B21" s="84">
        <v>7.4249999999999998</v>
      </c>
      <c r="C21" s="85">
        <v>0.78449999999999998</v>
      </c>
      <c r="D21" s="86">
        <f t="shared" si="0"/>
        <v>0.10565656565656566</v>
      </c>
    </row>
    <row r="22" spans="1:4" x14ac:dyDescent="0.25">
      <c r="A22" s="83">
        <v>40.020000000000003</v>
      </c>
      <c r="B22" s="84">
        <v>8.2140000000000004</v>
      </c>
      <c r="C22" s="85">
        <v>0.80120000000000002</v>
      </c>
      <c r="D22" s="86">
        <f t="shared" si="0"/>
        <v>9.7540784027270511E-2</v>
      </c>
    </row>
    <row r="23" spans="1:4" x14ac:dyDescent="0.25">
      <c r="A23" s="83">
        <v>42</v>
      </c>
      <c r="B23" s="84">
        <v>8.3900652173913031</v>
      </c>
      <c r="C23" s="85">
        <v>0.8068458071859903</v>
      </c>
      <c r="D23" s="86">
        <v>9.6166809944876724E-2</v>
      </c>
    </row>
    <row r="24" spans="1:4" x14ac:dyDescent="0.25">
      <c r="A24" s="83">
        <v>44</v>
      </c>
      <c r="B24" s="84">
        <v>7.9753260869565228</v>
      </c>
      <c r="C24" s="85">
        <v>0.80546268073671501</v>
      </c>
      <c r="D24" s="86">
        <v>0.10099432574349934</v>
      </c>
    </row>
    <row r="25" spans="1:4" x14ac:dyDescent="0.25">
      <c r="A25" s="83">
        <v>46</v>
      </c>
      <c r="B25" s="84">
        <v>7.6878260869565205</v>
      </c>
      <c r="C25" s="85">
        <v>0.78886298605072458</v>
      </c>
      <c r="D25" s="86">
        <v>0.10261197081306792</v>
      </c>
    </row>
    <row r="26" spans="1:4" x14ac:dyDescent="0.25">
      <c r="A26" s="83">
        <v>48</v>
      </c>
      <c r="B26" s="84">
        <v>7.2641159420289849</v>
      </c>
      <c r="C26" s="85">
        <v>0.80573306362318853</v>
      </c>
      <c r="D26" s="86">
        <v>0.11091963152203409</v>
      </c>
    </row>
    <row r="27" spans="1:4" x14ac:dyDescent="0.25">
      <c r="A27" s="83">
        <v>50</v>
      </c>
      <c r="B27" s="84">
        <v>7.124159420289855</v>
      </c>
      <c r="C27" s="85">
        <v>0.79849999999999999</v>
      </c>
      <c r="D27" s="86">
        <v>0.11091963152203409</v>
      </c>
    </row>
    <row r="28" spans="1:4" x14ac:dyDescent="0.25">
      <c r="A28" s="83"/>
      <c r="B28" s="92"/>
      <c r="C28" s="92"/>
      <c r="D28" s="85"/>
    </row>
    <row r="29" spans="1:4" x14ac:dyDescent="0.25">
      <c r="A29" s="83"/>
      <c r="B29" s="92"/>
      <c r="C29" s="92"/>
      <c r="D29" s="85"/>
    </row>
    <row r="30" spans="1:4" x14ac:dyDescent="0.25">
      <c r="A30" s="83"/>
      <c r="B30" s="91"/>
      <c r="C30" s="92"/>
      <c r="D30" s="85"/>
    </row>
    <row r="31" spans="1:4" x14ac:dyDescent="0.25">
      <c r="A31" s="83"/>
      <c r="B31" s="91"/>
      <c r="C31" s="92"/>
      <c r="D31" s="85"/>
    </row>
    <row r="32" spans="1:4" x14ac:dyDescent="0.25">
      <c r="A32" s="83"/>
      <c r="B32" s="84" t="s">
        <v>23</v>
      </c>
      <c r="C32" s="84" t="s">
        <v>20</v>
      </c>
      <c r="D32" s="92"/>
    </row>
    <row r="33" spans="1:4" x14ac:dyDescent="0.25">
      <c r="A33" s="83"/>
      <c r="B33" s="90">
        <f>AVERAGE(B2:B27)</f>
        <v>7.6317536231884064</v>
      </c>
      <c r="C33" s="87">
        <f>AVERAGE(C2:C27)</f>
        <v>0.79437243028102911</v>
      </c>
      <c r="D33" s="92"/>
    </row>
    <row r="34" spans="1:4" x14ac:dyDescent="0.25">
      <c r="A34" s="83"/>
      <c r="B34" s="85" t="s">
        <v>19</v>
      </c>
      <c r="C34" s="85" t="s">
        <v>19</v>
      </c>
      <c r="D34" s="93"/>
    </row>
    <row r="35" spans="1:4" x14ac:dyDescent="0.25">
      <c r="A35" s="83"/>
      <c r="B35" s="90">
        <f>STDEVA(B2:B27)</f>
        <v>0.35746624054236792</v>
      </c>
      <c r="C35" s="87">
        <f>STDEVA(C2:C27)</f>
        <v>1.6525194000793587E-2</v>
      </c>
      <c r="D35" s="85"/>
    </row>
    <row r="36" spans="1:4" x14ac:dyDescent="0.25">
      <c r="B36" s="82"/>
      <c r="C36" s="82"/>
      <c r="D36" s="82"/>
    </row>
    <row r="37" spans="1:4" x14ac:dyDescent="0.25">
      <c r="B37" s="82"/>
      <c r="C37" s="82"/>
      <c r="D37" s="82"/>
    </row>
    <row r="38" spans="1:4" x14ac:dyDescent="0.25">
      <c r="B38" s="82"/>
      <c r="C38" s="82"/>
      <c r="D38" s="82"/>
    </row>
    <row r="39" spans="1:4" x14ac:dyDescent="0.25">
      <c r="B39" s="82"/>
      <c r="C39" s="82"/>
      <c r="D39" s="82"/>
    </row>
    <row r="40" spans="1:4" x14ac:dyDescent="0.25">
      <c r="B40" s="82"/>
      <c r="C40" s="82"/>
      <c r="D40" s="82"/>
    </row>
    <row r="41" spans="1:4" x14ac:dyDescent="0.25">
      <c r="B41" s="82"/>
      <c r="C41" s="82"/>
      <c r="D41" s="82"/>
    </row>
    <row r="42" spans="1:4" x14ac:dyDescent="0.25">
      <c r="B42" s="82"/>
      <c r="C42" s="82"/>
      <c r="D42" s="82"/>
    </row>
    <row r="43" spans="1:4" x14ac:dyDescent="0.25">
      <c r="B43" s="82"/>
      <c r="C43" s="82"/>
      <c r="D43" s="82"/>
    </row>
    <row r="44" spans="1:4" x14ac:dyDescent="0.25">
      <c r="B44" s="82"/>
      <c r="C44" s="82"/>
      <c r="D44" s="82"/>
    </row>
    <row r="45" spans="1:4" x14ac:dyDescent="0.25">
      <c r="B45" s="82"/>
      <c r="C45" s="82"/>
      <c r="D45" s="82"/>
    </row>
    <row r="46" spans="1:4" x14ac:dyDescent="0.25">
      <c r="B46" s="82"/>
      <c r="C46" s="82"/>
      <c r="D46" s="82"/>
    </row>
    <row r="47" spans="1:4" x14ac:dyDescent="0.25">
      <c r="B47" s="82"/>
      <c r="C47" s="82"/>
      <c r="D47" s="82"/>
    </row>
    <row r="48" spans="1:4" x14ac:dyDescent="0.25">
      <c r="B48" s="82"/>
      <c r="C48" s="82"/>
      <c r="D48" s="82"/>
    </row>
    <row r="49" s="82" customFormat="1" x14ac:dyDescent="0.25"/>
    <row r="50" s="82" customFormat="1" x14ac:dyDescent="0.25"/>
    <row r="51" s="82" customFormat="1" x14ac:dyDescent="0.25"/>
    <row r="52" s="82" customFormat="1" x14ac:dyDescent="0.25"/>
    <row r="53" s="82" customFormat="1" x14ac:dyDescent="0.25"/>
    <row r="54" s="82" customFormat="1" x14ac:dyDescent="0.25"/>
    <row r="55" s="82" customFormat="1" x14ac:dyDescent="0.25"/>
    <row r="56" s="82" customFormat="1" x14ac:dyDescent="0.25"/>
    <row r="57" s="82" customFormat="1" x14ac:dyDescent="0.25"/>
    <row r="58" s="82" customFormat="1" x14ac:dyDescent="0.25"/>
    <row r="59" s="82" customFormat="1" x14ac:dyDescent="0.25"/>
    <row r="60" s="82" customFormat="1" x14ac:dyDescent="0.25"/>
    <row r="61" s="82" customFormat="1" x14ac:dyDescent="0.25"/>
    <row r="62" s="82" customFormat="1" x14ac:dyDescent="0.25"/>
    <row r="63" s="82" customFormat="1" x14ac:dyDescent="0.25"/>
    <row r="64" s="82" customFormat="1" x14ac:dyDescent="0.25"/>
    <row r="65" s="82" customFormat="1" x14ac:dyDescent="0.25"/>
    <row r="66" s="82" customFormat="1" x14ac:dyDescent="0.25"/>
    <row r="67" s="82" customFormat="1" x14ac:dyDescent="0.25"/>
    <row r="68" s="82" customFormat="1" x14ac:dyDescent="0.25"/>
    <row r="69" s="82" customFormat="1" x14ac:dyDescent="0.25"/>
    <row r="70" s="82" customFormat="1" x14ac:dyDescent="0.25"/>
    <row r="71" s="82" customFormat="1" x14ac:dyDescent="0.25"/>
    <row r="72" s="82" customFormat="1" x14ac:dyDescent="0.25"/>
    <row r="73" s="82" customFormat="1" x14ac:dyDescent="0.25"/>
    <row r="74" s="82" customFormat="1" x14ac:dyDescent="0.25"/>
    <row r="75" s="82" customFormat="1" x14ac:dyDescent="0.25"/>
    <row r="76" s="82" customFormat="1" x14ac:dyDescent="0.25"/>
    <row r="77" s="82" customFormat="1" x14ac:dyDescent="0.25"/>
    <row r="78" s="82" customFormat="1" x14ac:dyDescent="0.25"/>
    <row r="79" s="82" customFormat="1" x14ac:dyDescent="0.25"/>
    <row r="80" s="82" customFormat="1" x14ac:dyDescent="0.25"/>
    <row r="81" s="82" customFormat="1" x14ac:dyDescent="0.25"/>
    <row r="82" s="82" customFormat="1" x14ac:dyDescent="0.25"/>
    <row r="83" s="82" customFormat="1" x14ac:dyDescent="0.25"/>
    <row r="84" s="82" customFormat="1" x14ac:dyDescent="0.25"/>
    <row r="85" s="82" customFormat="1" x14ac:dyDescent="0.25"/>
    <row r="86" s="82" customFormat="1" x14ac:dyDescent="0.25"/>
    <row r="87" s="82" customFormat="1" x14ac:dyDescent="0.25"/>
    <row r="88" s="82" customFormat="1" x14ac:dyDescent="0.25"/>
    <row r="89" s="82" customFormat="1" x14ac:dyDescent="0.25"/>
    <row r="90" s="82" customFormat="1" x14ac:dyDescent="0.25"/>
    <row r="91" s="82" customFormat="1" x14ac:dyDescent="0.25"/>
    <row r="92" s="82" customFormat="1" x14ac:dyDescent="0.25"/>
    <row r="93" s="82" customFormat="1" x14ac:dyDescent="0.25"/>
    <row r="94" s="82" customFormat="1" x14ac:dyDescent="0.25"/>
    <row r="95" s="82" customFormat="1" x14ac:dyDescent="0.25"/>
    <row r="96" s="82" customFormat="1" x14ac:dyDescent="0.25"/>
    <row r="97" s="82" customFormat="1" x14ac:dyDescent="0.25"/>
    <row r="98" s="82" customFormat="1" x14ac:dyDescent="0.25"/>
    <row r="99" s="82" customFormat="1" x14ac:dyDescent="0.25"/>
    <row r="100" s="82" customFormat="1" x14ac:dyDescent="0.25"/>
    <row r="101" s="82" customFormat="1" x14ac:dyDescent="0.25"/>
    <row r="102" s="82" customFormat="1" x14ac:dyDescent="0.25"/>
    <row r="103" s="82" customFormat="1" x14ac:dyDescent="0.25"/>
    <row r="104" s="82" customFormat="1" x14ac:dyDescent="0.25"/>
    <row r="105" s="82" customFormat="1" x14ac:dyDescent="0.25"/>
    <row r="106" s="82" customFormat="1" x14ac:dyDescent="0.25"/>
    <row r="107" s="82" customFormat="1" x14ac:dyDescent="0.25"/>
    <row r="108" s="82" customFormat="1" x14ac:dyDescent="0.25"/>
    <row r="109" s="82" customFormat="1" x14ac:dyDescent="0.25"/>
    <row r="110" s="82" customFormat="1" x14ac:dyDescent="0.25"/>
    <row r="111" s="82" customFormat="1" x14ac:dyDescent="0.25"/>
    <row r="112" s="82" customFormat="1" x14ac:dyDescent="0.25"/>
    <row r="113" s="82" customFormat="1" x14ac:dyDescent="0.25"/>
    <row r="114" s="82" customFormat="1" x14ac:dyDescent="0.25"/>
    <row r="115" s="82" customFormat="1" x14ac:dyDescent="0.25"/>
    <row r="116" s="82" customFormat="1" x14ac:dyDescent="0.25"/>
    <row r="117" s="82" customFormat="1" x14ac:dyDescent="0.25"/>
    <row r="118" s="82" customFormat="1" x14ac:dyDescent="0.25"/>
    <row r="119" s="82" customFormat="1" x14ac:dyDescent="0.25"/>
    <row r="120" s="82" customFormat="1" x14ac:dyDescent="0.25"/>
    <row r="121" s="82" customFormat="1" x14ac:dyDescent="0.25"/>
    <row r="122" s="82" customFormat="1" x14ac:dyDescent="0.25"/>
    <row r="123" s="82" customFormat="1" x14ac:dyDescent="0.25"/>
    <row r="124" s="82" customFormat="1" x14ac:dyDescent="0.25"/>
    <row r="125" s="82" customFormat="1" x14ac:dyDescent="0.25"/>
    <row r="126" s="82" customFormat="1" x14ac:dyDescent="0.25"/>
    <row r="127" s="82" customFormat="1" x14ac:dyDescent="0.25"/>
    <row r="128" s="82" customFormat="1" x14ac:dyDescent="0.25"/>
    <row r="129" s="82" customFormat="1" x14ac:dyDescent="0.25"/>
    <row r="130" s="82" customFormat="1" x14ac:dyDescent="0.25"/>
    <row r="131" s="82" customFormat="1" x14ac:dyDescent="0.25"/>
    <row r="132" s="82" customFormat="1" x14ac:dyDescent="0.25"/>
    <row r="133" s="82" customFormat="1" x14ac:dyDescent="0.25"/>
    <row r="134" s="82" customFormat="1" x14ac:dyDescent="0.25"/>
    <row r="135" s="82" customFormat="1" x14ac:dyDescent="0.25"/>
    <row r="136" s="82" customFormat="1" x14ac:dyDescent="0.25"/>
    <row r="137" s="82" customFormat="1" x14ac:dyDescent="0.25"/>
    <row r="138" s="82" customFormat="1" x14ac:dyDescent="0.25"/>
    <row r="139" s="82" customFormat="1" x14ac:dyDescent="0.25"/>
    <row r="140" s="82" customFormat="1" x14ac:dyDescent="0.25"/>
    <row r="141" s="82" customFormat="1" x14ac:dyDescent="0.25"/>
    <row r="142" s="82" customFormat="1" x14ac:dyDescent="0.25"/>
    <row r="143" s="82" customFormat="1" x14ac:dyDescent="0.25"/>
    <row r="144" s="82" customFormat="1" x14ac:dyDescent="0.25"/>
    <row r="145" s="82" customFormat="1" x14ac:dyDescent="0.25"/>
    <row r="146" s="82" customFormat="1" x14ac:dyDescent="0.25"/>
    <row r="147" s="82" customFormat="1" x14ac:dyDescent="0.25"/>
    <row r="148" s="82" customFormat="1" x14ac:dyDescent="0.25"/>
    <row r="149" s="82" customFormat="1" x14ac:dyDescent="0.25"/>
    <row r="150" s="82" customFormat="1" x14ac:dyDescent="0.25"/>
    <row r="151" s="82" customFormat="1" x14ac:dyDescent="0.25"/>
    <row r="152" s="82" customFormat="1" x14ac:dyDescent="0.25"/>
    <row r="153" s="82" customFormat="1" x14ac:dyDescent="0.25"/>
    <row r="154" s="82" customFormat="1" x14ac:dyDescent="0.25"/>
    <row r="155" s="82" customFormat="1" x14ac:dyDescent="0.25"/>
    <row r="156" s="82" customFormat="1" x14ac:dyDescent="0.25"/>
    <row r="157" s="82" customFormat="1" x14ac:dyDescent="0.25"/>
    <row r="158" s="82" customFormat="1" x14ac:dyDescent="0.25"/>
    <row r="159" s="82" customFormat="1" x14ac:dyDescent="0.25"/>
    <row r="160" s="82" customFormat="1" x14ac:dyDescent="0.25"/>
    <row r="161" s="82" customFormat="1" x14ac:dyDescent="0.25"/>
    <row r="162" s="82" customFormat="1" x14ac:dyDescent="0.25"/>
    <row r="163" s="82" customFormat="1" x14ac:dyDescent="0.25"/>
    <row r="164" s="82" customFormat="1" x14ac:dyDescent="0.25"/>
    <row r="165" s="82" customFormat="1" x14ac:dyDescent="0.25"/>
    <row r="166" s="82" customFormat="1" x14ac:dyDescent="0.25"/>
    <row r="167" s="82" customFormat="1" x14ac:dyDescent="0.25"/>
    <row r="168" s="82" customFormat="1" x14ac:dyDescent="0.25"/>
    <row r="169" s="82" customFormat="1" x14ac:dyDescent="0.25"/>
    <row r="170" s="82" customFormat="1" x14ac:dyDescent="0.25"/>
    <row r="171" s="82" customFormat="1" x14ac:dyDescent="0.25"/>
    <row r="172" s="82" customFormat="1" x14ac:dyDescent="0.25"/>
    <row r="173" s="82" customFormat="1" x14ac:dyDescent="0.25"/>
    <row r="174" s="82" customFormat="1" x14ac:dyDescent="0.25"/>
    <row r="175" s="82" customFormat="1" x14ac:dyDescent="0.25"/>
    <row r="176" s="82" customFormat="1" x14ac:dyDescent="0.25"/>
    <row r="177" s="82" customFormat="1" x14ac:dyDescent="0.25"/>
    <row r="178" s="82" customFormat="1" x14ac:dyDescent="0.25"/>
    <row r="179" s="82" customFormat="1" x14ac:dyDescent="0.25"/>
    <row r="180" s="82" customFormat="1" x14ac:dyDescent="0.25"/>
    <row r="181" s="82" customFormat="1" x14ac:dyDescent="0.25"/>
    <row r="182" s="82" customFormat="1" x14ac:dyDescent="0.25"/>
    <row r="183" s="82" customFormat="1" x14ac:dyDescent="0.25"/>
    <row r="184" s="82" customFormat="1" x14ac:dyDescent="0.25"/>
    <row r="185" s="82" customFormat="1" x14ac:dyDescent="0.25"/>
    <row r="186" s="82" customFormat="1" x14ac:dyDescent="0.25"/>
    <row r="187" s="82" customFormat="1" x14ac:dyDescent="0.25"/>
    <row r="188" s="82" customFormat="1" x14ac:dyDescent="0.25"/>
    <row r="189" s="82" customFormat="1" x14ac:dyDescent="0.25"/>
    <row r="190" s="82" customFormat="1" x14ac:dyDescent="0.25"/>
    <row r="191" s="82" customFormat="1" x14ac:dyDescent="0.25"/>
    <row r="192" s="82" customFormat="1" x14ac:dyDescent="0.25"/>
    <row r="193" s="82" customFormat="1" x14ac:dyDescent="0.25"/>
    <row r="194" s="82" customFormat="1" x14ac:dyDescent="0.25"/>
    <row r="195" s="82" customFormat="1" x14ac:dyDescent="0.25"/>
    <row r="196" s="82" customFormat="1" x14ac:dyDescent="0.25"/>
    <row r="197" s="82" customFormat="1" x14ac:dyDescent="0.25"/>
    <row r="198" s="82" customFormat="1" x14ac:dyDescent="0.25"/>
    <row r="199" s="82" customFormat="1" x14ac:dyDescent="0.25"/>
    <row r="200" s="82" customFormat="1" x14ac:dyDescent="0.25"/>
    <row r="201" s="82" customFormat="1" x14ac:dyDescent="0.25"/>
    <row r="202" s="82" customFormat="1" x14ac:dyDescent="0.25"/>
    <row r="203" s="82" customFormat="1" x14ac:dyDescent="0.25"/>
    <row r="204" s="82" customFormat="1" x14ac:dyDescent="0.25"/>
    <row r="205" s="82" customFormat="1" x14ac:dyDescent="0.25"/>
    <row r="206" s="82" customFormat="1" x14ac:dyDescent="0.25"/>
    <row r="207" s="82" customFormat="1" x14ac:dyDescent="0.25"/>
    <row r="208" s="82" customFormat="1" x14ac:dyDescent="0.25"/>
    <row r="209" s="82" customFormat="1" x14ac:dyDescent="0.25"/>
    <row r="210" s="82" customFormat="1" x14ac:dyDescent="0.25"/>
    <row r="211" s="82" customFormat="1" x14ac:dyDescent="0.25"/>
    <row r="212" s="82" customFormat="1" x14ac:dyDescent="0.25"/>
    <row r="213" s="82" customFormat="1" x14ac:dyDescent="0.25"/>
    <row r="214" s="82" customFormat="1" x14ac:dyDescent="0.25"/>
    <row r="215" s="82" customFormat="1" x14ac:dyDescent="0.25"/>
    <row r="216" s="82" customFormat="1" x14ac:dyDescent="0.25"/>
    <row r="217" s="82" customFormat="1" x14ac:dyDescent="0.25"/>
    <row r="218" s="82" customFormat="1" x14ac:dyDescent="0.25"/>
    <row r="219" s="82" customFormat="1" x14ac:dyDescent="0.25"/>
    <row r="220" s="82" customFormat="1" x14ac:dyDescent="0.25"/>
    <row r="221" s="82" customFormat="1" x14ac:dyDescent="0.25"/>
    <row r="222" s="82" customFormat="1" x14ac:dyDescent="0.25"/>
    <row r="223" s="82" customFormat="1" x14ac:dyDescent="0.25"/>
    <row r="224" s="82" customFormat="1" x14ac:dyDescent="0.25"/>
    <row r="225" s="82" customFormat="1" x14ac:dyDescent="0.25"/>
    <row r="226" s="82" customFormat="1" x14ac:dyDescent="0.25"/>
    <row r="227" s="82" customFormat="1" x14ac:dyDescent="0.25"/>
    <row r="228" s="82" customFormat="1" x14ac:dyDescent="0.25"/>
    <row r="229" s="82" customFormat="1" x14ac:dyDescent="0.25"/>
    <row r="230" s="82" customFormat="1" x14ac:dyDescent="0.25"/>
    <row r="231" s="82" customFormat="1" x14ac:dyDescent="0.25"/>
    <row r="232" s="82" customFormat="1" x14ac:dyDescent="0.25"/>
    <row r="233" s="82" customFormat="1" x14ac:dyDescent="0.25"/>
    <row r="234" s="82" customFormat="1" x14ac:dyDescent="0.25"/>
    <row r="235" s="82" customFormat="1" x14ac:dyDescent="0.25"/>
    <row r="236" s="82" customFormat="1" x14ac:dyDescent="0.25"/>
    <row r="237" s="82" customFormat="1" x14ac:dyDescent="0.25"/>
    <row r="238" s="82" customFormat="1" x14ac:dyDescent="0.25"/>
    <row r="239" s="82" customFormat="1" x14ac:dyDescent="0.25"/>
    <row r="240" s="82" customFormat="1" x14ac:dyDescent="0.25"/>
    <row r="241" s="82" customFormat="1" x14ac:dyDescent="0.25"/>
    <row r="242" s="82" customFormat="1" x14ac:dyDescent="0.25"/>
    <row r="243" s="82" customFormat="1" x14ac:dyDescent="0.25"/>
    <row r="244" s="82" customFormat="1" x14ac:dyDescent="0.25"/>
    <row r="245" s="82" customFormat="1" x14ac:dyDescent="0.25"/>
    <row r="246" s="82" customFormat="1" x14ac:dyDescent="0.25"/>
    <row r="247" s="82" customFormat="1" x14ac:dyDescent="0.25"/>
    <row r="248" s="82" customFormat="1" x14ac:dyDescent="0.25"/>
    <row r="249" s="82" customFormat="1" x14ac:dyDescent="0.25"/>
    <row r="250" s="82" customFormat="1" x14ac:dyDescent="0.25"/>
    <row r="251" s="82" customFormat="1" x14ac:dyDescent="0.25"/>
    <row r="252" s="82" customFormat="1" x14ac:dyDescent="0.25"/>
    <row r="253" s="82" customFormat="1" x14ac:dyDescent="0.25"/>
    <row r="254" s="82" customFormat="1" x14ac:dyDescent="0.25"/>
    <row r="255" s="82" customFormat="1" x14ac:dyDescent="0.25"/>
    <row r="256" s="82" customFormat="1" x14ac:dyDescent="0.25"/>
    <row r="257" s="82" customFormat="1" x14ac:dyDescent="0.25"/>
    <row r="258" s="82" customFormat="1" x14ac:dyDescent="0.25"/>
    <row r="259" s="82" customFormat="1" x14ac:dyDescent="0.25"/>
    <row r="260" s="82" customFormat="1" x14ac:dyDescent="0.25"/>
    <row r="261" s="82" customFormat="1" x14ac:dyDescent="0.25"/>
    <row r="262" s="82" customFormat="1" x14ac:dyDescent="0.25"/>
    <row r="263" s="82" customFormat="1" x14ac:dyDescent="0.25"/>
    <row r="264" s="82" customFormat="1" x14ac:dyDescent="0.25"/>
    <row r="265" s="82" customFormat="1" x14ac:dyDescent="0.25"/>
    <row r="266" s="82" customFormat="1" x14ac:dyDescent="0.25"/>
    <row r="267" s="82" customFormat="1" x14ac:dyDescent="0.25"/>
    <row r="268" s="82" customFormat="1" x14ac:dyDescent="0.25"/>
    <row r="269" s="82" customFormat="1" x14ac:dyDescent="0.25"/>
    <row r="270" s="82" customFormat="1" x14ac:dyDescent="0.25"/>
    <row r="271" s="82" customFormat="1" x14ac:dyDescent="0.25"/>
    <row r="272" s="82" customFormat="1" x14ac:dyDescent="0.25"/>
    <row r="273" s="82" customFormat="1" x14ac:dyDescent="0.25"/>
    <row r="274" s="82" customFormat="1" x14ac:dyDescent="0.25"/>
    <row r="275" s="82" customFormat="1" x14ac:dyDescent="0.25"/>
    <row r="276" s="82" customFormat="1" x14ac:dyDescent="0.25"/>
    <row r="277" s="82" customFormat="1" x14ac:dyDescent="0.25"/>
    <row r="278" s="82" customFormat="1" x14ac:dyDescent="0.25"/>
    <row r="279" s="82" customFormat="1" x14ac:dyDescent="0.25"/>
    <row r="280" s="82" customFormat="1" x14ac:dyDescent="0.25"/>
    <row r="281" s="82" customFormat="1" x14ac:dyDescent="0.25"/>
    <row r="282" s="82" customFormat="1" x14ac:dyDescent="0.25"/>
    <row r="283" s="82" customFormat="1" x14ac:dyDescent="0.25"/>
    <row r="284" s="82" customFormat="1" x14ac:dyDescent="0.25"/>
    <row r="285" s="82" customFormat="1" x14ac:dyDescent="0.25"/>
    <row r="286" s="82" customFormat="1" x14ac:dyDescent="0.25"/>
    <row r="287" s="82" customFormat="1" x14ac:dyDescent="0.25"/>
    <row r="288" s="82" customFormat="1" x14ac:dyDescent="0.25"/>
    <row r="289" s="82" customFormat="1" x14ac:dyDescent="0.25"/>
    <row r="290" s="82" customFormat="1" x14ac:dyDescent="0.25"/>
    <row r="291" s="82" customFormat="1" x14ac:dyDescent="0.25"/>
    <row r="292" s="82" customFormat="1" x14ac:dyDescent="0.25"/>
    <row r="293" s="82" customFormat="1" x14ac:dyDescent="0.25"/>
    <row r="294" s="82" customFormat="1" x14ac:dyDescent="0.25"/>
    <row r="295" s="82" customFormat="1" x14ac:dyDescent="0.25"/>
    <row r="296" s="82" customFormat="1" x14ac:dyDescent="0.25"/>
    <row r="297" s="82" customFormat="1" x14ac:dyDescent="0.25"/>
    <row r="298" s="82" customFormat="1" x14ac:dyDescent="0.25"/>
    <row r="299" s="82" customFormat="1" x14ac:dyDescent="0.25"/>
    <row r="300" s="82" customFormat="1" x14ac:dyDescent="0.25"/>
    <row r="301" s="82" customFormat="1" x14ac:dyDescent="0.25"/>
    <row r="302" s="82" customFormat="1" x14ac:dyDescent="0.25"/>
    <row r="303" s="82" customFormat="1" x14ac:dyDescent="0.25"/>
    <row r="304" s="82" customFormat="1" x14ac:dyDescent="0.25"/>
    <row r="305" s="82" customFormat="1" x14ac:dyDescent="0.25"/>
    <row r="306" s="82" customFormat="1" x14ac:dyDescent="0.25"/>
    <row r="307" s="82" customFormat="1" x14ac:dyDescent="0.25"/>
    <row r="308" s="82" customFormat="1" x14ac:dyDescent="0.25"/>
    <row r="309" s="82" customFormat="1" x14ac:dyDescent="0.25"/>
    <row r="310" s="82" customFormat="1" x14ac:dyDescent="0.25"/>
    <row r="311" s="82" customFormat="1" x14ac:dyDescent="0.25"/>
    <row r="312" s="82" customFormat="1" x14ac:dyDescent="0.25"/>
    <row r="313" s="82" customFormat="1" x14ac:dyDescent="0.25"/>
    <row r="314" s="82" customFormat="1" x14ac:dyDescent="0.25"/>
    <row r="315" s="82" customFormat="1" x14ac:dyDescent="0.25"/>
    <row r="316" s="82" customFormat="1" x14ac:dyDescent="0.25"/>
    <row r="317" s="82" customFormat="1" x14ac:dyDescent="0.25"/>
    <row r="318" s="82" customFormat="1" x14ac:dyDescent="0.25"/>
    <row r="319" s="82" customFormat="1" x14ac:dyDescent="0.25"/>
    <row r="320" s="82" customFormat="1" x14ac:dyDescent="0.25"/>
    <row r="321" spans="1:4" x14ac:dyDescent="0.25">
      <c r="B321" s="82"/>
      <c r="C321" s="82"/>
      <c r="D321" s="82"/>
    </row>
    <row r="322" spans="1:4" x14ac:dyDescent="0.25">
      <c r="B322" s="82"/>
      <c r="C322" s="82"/>
      <c r="D322" s="82"/>
    </row>
    <row r="323" spans="1:4" x14ac:dyDescent="0.25">
      <c r="B323" s="82"/>
      <c r="C323" s="82"/>
      <c r="D323" s="82"/>
    </row>
    <row r="324" spans="1:4" x14ac:dyDescent="0.25">
      <c r="B324" s="82"/>
      <c r="C324" s="82"/>
      <c r="D324" s="82"/>
    </row>
    <row r="325" spans="1:4" x14ac:dyDescent="0.25">
      <c r="B325" s="82"/>
      <c r="C325" s="82"/>
      <c r="D325" s="82"/>
    </row>
    <row r="326" spans="1:4" x14ac:dyDescent="0.25">
      <c r="B326" s="82"/>
      <c r="C326" s="82"/>
      <c r="D326" s="82"/>
    </row>
    <row r="327" spans="1:4" x14ac:dyDescent="0.25">
      <c r="B327" s="82"/>
      <c r="C327" s="82"/>
      <c r="D327" s="82"/>
    </row>
    <row r="328" spans="1:4" x14ac:dyDescent="0.25">
      <c r="A328" s="88"/>
    </row>
    <row r="329" spans="1:4" x14ac:dyDescent="0.25">
      <c r="A329" s="88"/>
    </row>
    <row r="330" spans="1:4" x14ac:dyDescent="0.25">
      <c r="A330" s="88"/>
    </row>
    <row r="331" spans="1:4" x14ac:dyDescent="0.25">
      <c r="B331" s="82"/>
      <c r="C331" s="82"/>
      <c r="D331" s="82"/>
    </row>
    <row r="332" spans="1:4" x14ac:dyDescent="0.25">
      <c r="B332" s="82"/>
      <c r="C332" s="82"/>
      <c r="D332" s="82"/>
    </row>
    <row r="333" spans="1:4" x14ac:dyDescent="0.25">
      <c r="B333" s="82"/>
      <c r="C333" s="82"/>
      <c r="D333" s="82"/>
    </row>
    <row r="334" spans="1:4" x14ac:dyDescent="0.25">
      <c r="B334" s="82"/>
      <c r="C334" s="82"/>
      <c r="D334" s="82"/>
    </row>
    <row r="335" spans="1:4" x14ac:dyDescent="0.25">
      <c r="B335" s="82"/>
      <c r="C335" s="82"/>
      <c r="D335" s="82"/>
    </row>
    <row r="336" spans="1:4" x14ac:dyDescent="0.25">
      <c r="B336" s="82"/>
      <c r="C336" s="82"/>
      <c r="D336" s="82"/>
    </row>
    <row r="337" s="82" customFormat="1" x14ac:dyDescent="0.25"/>
    <row r="338" s="82" customFormat="1" x14ac:dyDescent="0.25"/>
    <row r="339" s="82" customFormat="1" x14ac:dyDescent="0.25"/>
    <row r="340" s="82" customFormat="1" x14ac:dyDescent="0.25"/>
    <row r="341" s="82" customFormat="1" x14ac:dyDescent="0.25"/>
    <row r="342" s="82" customFormat="1" x14ac:dyDescent="0.25"/>
    <row r="343" s="82" customFormat="1" x14ac:dyDescent="0.25"/>
    <row r="344" s="82" customFormat="1" x14ac:dyDescent="0.25"/>
    <row r="345" s="82" customFormat="1" x14ac:dyDescent="0.25"/>
    <row r="346" s="82" customFormat="1" x14ac:dyDescent="0.25"/>
    <row r="347" s="82" customFormat="1" x14ac:dyDescent="0.25"/>
    <row r="348" s="82" customFormat="1" x14ac:dyDescent="0.25"/>
    <row r="349" s="82" customFormat="1" x14ac:dyDescent="0.25"/>
    <row r="350" s="82" customFormat="1" x14ac:dyDescent="0.25"/>
    <row r="351" s="82" customFormat="1" x14ac:dyDescent="0.25"/>
    <row r="352" s="82" customFormat="1" x14ac:dyDescent="0.25"/>
    <row r="353" s="82" customFormat="1" x14ac:dyDescent="0.25"/>
    <row r="354" s="82" customFormat="1" x14ac:dyDescent="0.25"/>
    <row r="355" s="82" customFormat="1" x14ac:dyDescent="0.25"/>
    <row r="356" s="82" customFormat="1" x14ac:dyDescent="0.25"/>
    <row r="357" s="82" customFormat="1" x14ac:dyDescent="0.25"/>
    <row r="358" s="82" customFormat="1" x14ac:dyDescent="0.25"/>
    <row r="359" s="82" customFormat="1" x14ac:dyDescent="0.25"/>
    <row r="360" s="82" customFormat="1" x14ac:dyDescent="0.25"/>
    <row r="361" s="82" customFormat="1" x14ac:dyDescent="0.25"/>
    <row r="362" s="82" customFormat="1" x14ac:dyDescent="0.25"/>
    <row r="363" s="82" customFormat="1" x14ac:dyDescent="0.25"/>
    <row r="364" s="82" customFormat="1" x14ac:dyDescent="0.25"/>
    <row r="365" s="82" customFormat="1" x14ac:dyDescent="0.25"/>
    <row r="366" s="82" customFormat="1" x14ac:dyDescent="0.25"/>
    <row r="367" s="82" customFormat="1" x14ac:dyDescent="0.25"/>
    <row r="368" s="82" customFormat="1" x14ac:dyDescent="0.25"/>
    <row r="369" s="82" customFormat="1" x14ac:dyDescent="0.25"/>
    <row r="370" s="82" customFormat="1" x14ac:dyDescent="0.25"/>
    <row r="371" s="82" customFormat="1" x14ac:dyDescent="0.25"/>
    <row r="372" s="82" customFormat="1" x14ac:dyDescent="0.25"/>
    <row r="373" s="82" customFormat="1" x14ac:dyDescent="0.25"/>
    <row r="374" s="82" customFormat="1" x14ac:dyDescent="0.25"/>
    <row r="375" s="82" customFormat="1" x14ac:dyDescent="0.25"/>
    <row r="376" s="82" customFormat="1" x14ac:dyDescent="0.25"/>
    <row r="377" s="82" customFormat="1" x14ac:dyDescent="0.25"/>
    <row r="378" s="82" customFormat="1" x14ac:dyDescent="0.25"/>
    <row r="379" s="82" customFormat="1" x14ac:dyDescent="0.25"/>
    <row r="380" s="82" customFormat="1" x14ac:dyDescent="0.25"/>
    <row r="381" s="82" customFormat="1" x14ac:dyDescent="0.25"/>
    <row r="382" s="82" customFormat="1" x14ac:dyDescent="0.25"/>
    <row r="383" s="82" customFormat="1" x14ac:dyDescent="0.25"/>
    <row r="384" s="82" customFormat="1" x14ac:dyDescent="0.25"/>
    <row r="385" s="82" customFormat="1" x14ac:dyDescent="0.25"/>
    <row r="386" s="82" customFormat="1" x14ac:dyDescent="0.25"/>
    <row r="387" s="82" customFormat="1" x14ac:dyDescent="0.25"/>
    <row r="388" s="82" customFormat="1" x14ac:dyDescent="0.25"/>
    <row r="389" s="82" customFormat="1" x14ac:dyDescent="0.25"/>
    <row r="390" s="82" customFormat="1" x14ac:dyDescent="0.25"/>
    <row r="391" s="82" customFormat="1" x14ac:dyDescent="0.25"/>
    <row r="392" s="82" customFormat="1" x14ac:dyDescent="0.25"/>
    <row r="393" s="82" customFormat="1" x14ac:dyDescent="0.25"/>
    <row r="394" s="82" customFormat="1" x14ac:dyDescent="0.25"/>
    <row r="395" s="82" customFormat="1" x14ac:dyDescent="0.25"/>
    <row r="396" s="82" customFormat="1" x14ac:dyDescent="0.25"/>
    <row r="397" s="82" customFormat="1" x14ac:dyDescent="0.25"/>
    <row r="398" s="82" customFormat="1" x14ac:dyDescent="0.25"/>
    <row r="399" s="82" customFormat="1" x14ac:dyDescent="0.25"/>
    <row r="400" s="82" customFormat="1" x14ac:dyDescent="0.25"/>
    <row r="401" s="82" customFormat="1" x14ac:dyDescent="0.25"/>
    <row r="402" s="82" customFormat="1" x14ac:dyDescent="0.25"/>
    <row r="403" s="82" customFormat="1" x14ac:dyDescent="0.25"/>
    <row r="404" s="82" customFormat="1" x14ac:dyDescent="0.25"/>
    <row r="405" s="82" customFormat="1" x14ac:dyDescent="0.25"/>
    <row r="406" s="82" customFormat="1" x14ac:dyDescent="0.25"/>
    <row r="407" s="82" customFormat="1" x14ac:dyDescent="0.25"/>
    <row r="408" s="82" customFormat="1" x14ac:dyDescent="0.25"/>
    <row r="409" s="82" customFormat="1" x14ac:dyDescent="0.25"/>
    <row r="410" s="82" customFormat="1" x14ac:dyDescent="0.25"/>
    <row r="411" s="82" customFormat="1" x14ac:dyDescent="0.25"/>
    <row r="412" s="82" customFormat="1" x14ac:dyDescent="0.25"/>
    <row r="413" s="82" customFormat="1" x14ac:dyDescent="0.25"/>
    <row r="414" s="82" customFormat="1" x14ac:dyDescent="0.25"/>
    <row r="415" s="82" customFormat="1" x14ac:dyDescent="0.25"/>
    <row r="416" s="82" customFormat="1" x14ac:dyDescent="0.25"/>
    <row r="417" s="82" customFormat="1" x14ac:dyDescent="0.25"/>
    <row r="418" s="82" customFormat="1" x14ac:dyDescent="0.25"/>
    <row r="419" s="82" customFormat="1" x14ac:dyDescent="0.25"/>
    <row r="420" s="82" customFormat="1" x14ac:dyDescent="0.25"/>
    <row r="421" s="82" customFormat="1" x14ac:dyDescent="0.25"/>
    <row r="422" s="82" customFormat="1" x14ac:dyDescent="0.25"/>
    <row r="423" s="82" customFormat="1" x14ac:dyDescent="0.25"/>
    <row r="424" s="82" customFormat="1" x14ac:dyDescent="0.25"/>
    <row r="425" s="82" customFormat="1" x14ac:dyDescent="0.25"/>
    <row r="426" s="82" customFormat="1" x14ac:dyDescent="0.25"/>
    <row r="427" s="82" customFormat="1" x14ac:dyDescent="0.25"/>
    <row r="428" s="82" customFormat="1" x14ac:dyDescent="0.25"/>
    <row r="429" s="82" customFormat="1" x14ac:dyDescent="0.25"/>
    <row r="430" s="82" customFormat="1" x14ac:dyDescent="0.25"/>
    <row r="431" s="82" customFormat="1" x14ac:dyDescent="0.25"/>
    <row r="432" s="82" customFormat="1" x14ac:dyDescent="0.25"/>
    <row r="433" s="82" customFormat="1" x14ac:dyDescent="0.25"/>
    <row r="434" s="82" customFormat="1" x14ac:dyDescent="0.25"/>
    <row r="435" s="82" customFormat="1" x14ac:dyDescent="0.25"/>
    <row r="436" s="82" customFormat="1" x14ac:dyDescent="0.25"/>
    <row r="437" s="82" customFormat="1" x14ac:dyDescent="0.25"/>
    <row r="438" s="82" customFormat="1" x14ac:dyDescent="0.25"/>
    <row r="439" s="82" customFormat="1" x14ac:dyDescent="0.25"/>
    <row r="440" s="82" customFormat="1" x14ac:dyDescent="0.25"/>
    <row r="441" s="82" customFormat="1" x14ac:dyDescent="0.25"/>
    <row r="442" s="82" customFormat="1" x14ac:dyDescent="0.25"/>
    <row r="443" s="82" customFormat="1" x14ac:dyDescent="0.25"/>
    <row r="444" s="82" customFormat="1" x14ac:dyDescent="0.25"/>
    <row r="445" s="82" customFormat="1" x14ac:dyDescent="0.25"/>
    <row r="446" s="82" customFormat="1" x14ac:dyDescent="0.25"/>
    <row r="447" s="82" customFormat="1" x14ac:dyDescent="0.25"/>
    <row r="448" s="82" customFormat="1" x14ac:dyDescent="0.25"/>
    <row r="449" s="82" customFormat="1" x14ac:dyDescent="0.25"/>
    <row r="450" s="82" customFormat="1" x14ac:dyDescent="0.25"/>
    <row r="451" s="82" customFormat="1" x14ac:dyDescent="0.25"/>
    <row r="452" s="82" customFormat="1" x14ac:dyDescent="0.25"/>
    <row r="453" s="82" customFormat="1" x14ac:dyDescent="0.25"/>
    <row r="454" s="82" customFormat="1" x14ac:dyDescent="0.25"/>
    <row r="455" s="82" customFormat="1" x14ac:dyDescent="0.25"/>
    <row r="456" s="82" customFormat="1" x14ac:dyDescent="0.25"/>
    <row r="457" s="82" customFormat="1" x14ac:dyDescent="0.25"/>
    <row r="458" s="82" customFormat="1" x14ac:dyDescent="0.25"/>
    <row r="459" s="82" customFormat="1" x14ac:dyDescent="0.25"/>
    <row r="460" s="82" customFormat="1" x14ac:dyDescent="0.25"/>
    <row r="461" s="82" customFormat="1" x14ac:dyDescent="0.25"/>
    <row r="462" s="82" customFormat="1" x14ac:dyDescent="0.25"/>
    <row r="463" s="82" customFormat="1" x14ac:dyDescent="0.25"/>
    <row r="464" s="82" customFormat="1" x14ac:dyDescent="0.25"/>
    <row r="465" s="82" customFormat="1" x14ac:dyDescent="0.25"/>
    <row r="466" s="82" customFormat="1" x14ac:dyDescent="0.25"/>
    <row r="467" s="82" customFormat="1" x14ac:dyDescent="0.25"/>
    <row r="468" s="82" customFormat="1" x14ac:dyDescent="0.25"/>
    <row r="469" s="82" customFormat="1" x14ac:dyDescent="0.25"/>
    <row r="470" s="82" customFormat="1" x14ac:dyDescent="0.25"/>
    <row r="471" s="82" customFormat="1" x14ac:dyDescent="0.25"/>
    <row r="472" s="82" customFormat="1" x14ac:dyDescent="0.25"/>
    <row r="473" s="82" customFormat="1" x14ac:dyDescent="0.25"/>
    <row r="474" s="82" customFormat="1" x14ac:dyDescent="0.25"/>
    <row r="475" s="82" customFormat="1" x14ac:dyDescent="0.25"/>
    <row r="476" s="82" customFormat="1" x14ac:dyDescent="0.25"/>
    <row r="477" s="82" customFormat="1" x14ac:dyDescent="0.25"/>
    <row r="478" s="82" customFormat="1" x14ac:dyDescent="0.25"/>
    <row r="479" s="82" customFormat="1" x14ac:dyDescent="0.25"/>
    <row r="480" s="82" customFormat="1" x14ac:dyDescent="0.25"/>
    <row r="481" s="82" customFormat="1" x14ac:dyDescent="0.25"/>
    <row r="482" s="82" customFormat="1" x14ac:dyDescent="0.25"/>
    <row r="483" s="82" customFormat="1" x14ac:dyDescent="0.25"/>
    <row r="484" s="82" customFormat="1" x14ac:dyDescent="0.25"/>
    <row r="485" s="82" customFormat="1" x14ac:dyDescent="0.25"/>
    <row r="486" s="82" customFormat="1" x14ac:dyDescent="0.25"/>
    <row r="487" s="82" customFormat="1" x14ac:dyDescent="0.25"/>
    <row r="488" s="82" customFormat="1" x14ac:dyDescent="0.25"/>
    <row r="489" s="82" customFormat="1" x14ac:dyDescent="0.25"/>
    <row r="490" s="82" customFormat="1" x14ac:dyDescent="0.25"/>
    <row r="491" s="82" customFormat="1" x14ac:dyDescent="0.25"/>
    <row r="492" s="82" customFormat="1" x14ac:dyDescent="0.25"/>
    <row r="493" s="82" customFormat="1" x14ac:dyDescent="0.25"/>
    <row r="494" s="82" customFormat="1" x14ac:dyDescent="0.25"/>
    <row r="495" s="82" customFormat="1" x14ac:dyDescent="0.25"/>
    <row r="496" s="82" customFormat="1" x14ac:dyDescent="0.25"/>
    <row r="497" s="82" customFormat="1" x14ac:dyDescent="0.25"/>
    <row r="498" s="82" customFormat="1" x14ac:dyDescent="0.25"/>
    <row r="499" s="82" customFormat="1" x14ac:dyDescent="0.25"/>
    <row r="500" s="82" customFormat="1" x14ac:dyDescent="0.25"/>
    <row r="501" s="82" customFormat="1" x14ac:dyDescent="0.25"/>
    <row r="502" s="82" customFormat="1" x14ac:dyDescent="0.25"/>
    <row r="503" s="82" customFormat="1" x14ac:dyDescent="0.25"/>
    <row r="504" s="82" customFormat="1" x14ac:dyDescent="0.25"/>
    <row r="505" s="82" customFormat="1" x14ac:dyDescent="0.25"/>
    <row r="506" s="82" customFormat="1" x14ac:dyDescent="0.25"/>
    <row r="507" s="82" customFormat="1" x14ac:dyDescent="0.25"/>
    <row r="508" s="82" customFormat="1" x14ac:dyDescent="0.25"/>
    <row r="509" s="82" customFormat="1" x14ac:dyDescent="0.25"/>
    <row r="510" s="82" customFormat="1" x14ac:dyDescent="0.25"/>
    <row r="511" s="82" customFormat="1" x14ac:dyDescent="0.25"/>
    <row r="512" s="82" customFormat="1" x14ac:dyDescent="0.25"/>
    <row r="513" s="82" customFormat="1" x14ac:dyDescent="0.25"/>
    <row r="514" s="82" customFormat="1" x14ac:dyDescent="0.25"/>
    <row r="515" s="82" customFormat="1" x14ac:dyDescent="0.25"/>
    <row r="516" s="82" customFormat="1" x14ac:dyDescent="0.25"/>
    <row r="517" s="82" customFormat="1" x14ac:dyDescent="0.25"/>
    <row r="518" s="82" customFormat="1" x14ac:dyDescent="0.25"/>
    <row r="519" s="82" customFormat="1" x14ac:dyDescent="0.25"/>
    <row r="520" s="82" customFormat="1" x14ac:dyDescent="0.25"/>
    <row r="521" s="82" customFormat="1" x14ac:dyDescent="0.25"/>
    <row r="522" s="82" customFormat="1" x14ac:dyDescent="0.25"/>
    <row r="523" s="82" customFormat="1" x14ac:dyDescent="0.25"/>
    <row r="524" s="82" customFormat="1" x14ac:dyDescent="0.25"/>
    <row r="525" s="82" customFormat="1" x14ac:dyDescent="0.25"/>
    <row r="526" s="82" customFormat="1" x14ac:dyDescent="0.25"/>
    <row r="527" s="82" customFormat="1" x14ac:dyDescent="0.25"/>
    <row r="528" s="82" customFormat="1" x14ac:dyDescent="0.25"/>
    <row r="529" s="82" customFormat="1" x14ac:dyDescent="0.25"/>
    <row r="530" s="82" customFormat="1" x14ac:dyDescent="0.25"/>
    <row r="531" s="82" customFormat="1" x14ac:dyDescent="0.25"/>
    <row r="532" s="82" customFormat="1" x14ac:dyDescent="0.25"/>
    <row r="533" s="82" customFormat="1" x14ac:dyDescent="0.25"/>
    <row r="534" s="82" customFormat="1" x14ac:dyDescent="0.25"/>
    <row r="535" s="82" customFormat="1" x14ac:dyDescent="0.25"/>
    <row r="536" s="82" customFormat="1" x14ac:dyDescent="0.25"/>
    <row r="537" s="82" customFormat="1" x14ac:dyDescent="0.25"/>
    <row r="538" s="82" customFormat="1" x14ac:dyDescent="0.25"/>
    <row r="539" s="82" customFormat="1" x14ac:dyDescent="0.25"/>
    <row r="540" s="82" customFormat="1" x14ac:dyDescent="0.25"/>
    <row r="541" s="82" customFormat="1" x14ac:dyDescent="0.25"/>
    <row r="542" s="82" customFormat="1" x14ac:dyDescent="0.25"/>
    <row r="543" s="82" customFormat="1" x14ac:dyDescent="0.25"/>
    <row r="544" s="82" customFormat="1" x14ac:dyDescent="0.25"/>
    <row r="545" s="82" customFormat="1" x14ac:dyDescent="0.25"/>
    <row r="546" s="82" customFormat="1" x14ac:dyDescent="0.25"/>
    <row r="547" s="82" customFormat="1" x14ac:dyDescent="0.25"/>
    <row r="548" s="82" customFormat="1" x14ac:dyDescent="0.25"/>
    <row r="549" s="82" customFormat="1" x14ac:dyDescent="0.25"/>
    <row r="550" s="82" customFormat="1" x14ac:dyDescent="0.25"/>
    <row r="551" s="82" customFormat="1" x14ac:dyDescent="0.25"/>
    <row r="552" s="82" customFormat="1" x14ac:dyDescent="0.25"/>
    <row r="553" s="82" customFormat="1" x14ac:dyDescent="0.25"/>
    <row r="554" s="82" customFormat="1" x14ac:dyDescent="0.25"/>
    <row r="555" s="82" customFormat="1" x14ac:dyDescent="0.25"/>
    <row r="556" s="82" customFormat="1" x14ac:dyDescent="0.25"/>
    <row r="557" s="82" customFormat="1" x14ac:dyDescent="0.25"/>
    <row r="558" s="82" customFormat="1" x14ac:dyDescent="0.25"/>
    <row r="559" s="82" customFormat="1" x14ac:dyDescent="0.25"/>
    <row r="560" s="82" customFormat="1" x14ac:dyDescent="0.25"/>
    <row r="561" s="82" customFormat="1" x14ac:dyDescent="0.25"/>
    <row r="562" s="82" customFormat="1" x14ac:dyDescent="0.25"/>
    <row r="563" s="82" customFormat="1" x14ac:dyDescent="0.25"/>
    <row r="564" s="82" customFormat="1" x14ac:dyDescent="0.25"/>
    <row r="565" s="82" customFormat="1" x14ac:dyDescent="0.25"/>
    <row r="566" s="82" customFormat="1" x14ac:dyDescent="0.25"/>
    <row r="567" s="82" customFormat="1" x14ac:dyDescent="0.25"/>
    <row r="568" s="82" customFormat="1" x14ac:dyDescent="0.25"/>
    <row r="569" s="82" customFormat="1" x14ac:dyDescent="0.25"/>
    <row r="570" s="82" customFormat="1" x14ac:dyDescent="0.25"/>
    <row r="571" s="82" customFormat="1" x14ac:dyDescent="0.25"/>
    <row r="572" s="82" customFormat="1" x14ac:dyDescent="0.25"/>
    <row r="573" s="82" customFormat="1" x14ac:dyDescent="0.25"/>
    <row r="574" s="82" customFormat="1" x14ac:dyDescent="0.25"/>
    <row r="575" s="82" customFormat="1" x14ac:dyDescent="0.25"/>
    <row r="576" s="82" customFormat="1" x14ac:dyDescent="0.25"/>
    <row r="577" s="82" customFormat="1" x14ac:dyDescent="0.25"/>
    <row r="578" s="82" customFormat="1" x14ac:dyDescent="0.25"/>
    <row r="579" s="82" customFormat="1" x14ac:dyDescent="0.25"/>
    <row r="580" s="82" customFormat="1" x14ac:dyDescent="0.25"/>
    <row r="581" s="82" customFormat="1" x14ac:dyDescent="0.25"/>
    <row r="582" s="82" customFormat="1" x14ac:dyDescent="0.25"/>
    <row r="583" s="82" customFormat="1" x14ac:dyDescent="0.25"/>
    <row r="584" s="82" customFormat="1" x14ac:dyDescent="0.25"/>
    <row r="585" s="82" customFormat="1" x14ac:dyDescent="0.25"/>
    <row r="586" s="82" customFormat="1" x14ac:dyDescent="0.25"/>
    <row r="587" s="82" customFormat="1" x14ac:dyDescent="0.25"/>
    <row r="588" s="82" customFormat="1" x14ac:dyDescent="0.25"/>
    <row r="589" s="82" customFormat="1" x14ac:dyDescent="0.25"/>
    <row r="590" s="82" customFormat="1" x14ac:dyDescent="0.25"/>
    <row r="591" s="82" customFormat="1" x14ac:dyDescent="0.25"/>
    <row r="592" s="82" customFormat="1" x14ac:dyDescent="0.25"/>
    <row r="593" s="82" customFormat="1" x14ac:dyDescent="0.25"/>
    <row r="594" s="82" customFormat="1" x14ac:dyDescent="0.25"/>
    <row r="595" s="82" customFormat="1" x14ac:dyDescent="0.25"/>
    <row r="596" s="82" customFormat="1" x14ac:dyDescent="0.25"/>
    <row r="597" s="82" customFormat="1" x14ac:dyDescent="0.25"/>
    <row r="598" s="82" customFormat="1" x14ac:dyDescent="0.25"/>
    <row r="599" s="82" customFormat="1" x14ac:dyDescent="0.25"/>
    <row r="600" s="82" customFormat="1" x14ac:dyDescent="0.25"/>
    <row r="601" s="82" customFormat="1" x14ac:dyDescent="0.25"/>
    <row r="602" s="82" customFormat="1" x14ac:dyDescent="0.25"/>
    <row r="603" s="82" customFormat="1" x14ac:dyDescent="0.25"/>
    <row r="604" s="82" customFormat="1" x14ac:dyDescent="0.25"/>
    <row r="605" s="82" customFormat="1" x14ac:dyDescent="0.25"/>
    <row r="606" s="82" customFormat="1" x14ac:dyDescent="0.25"/>
    <row r="607" s="82" customFormat="1" x14ac:dyDescent="0.25"/>
    <row r="608" s="82" customFormat="1" x14ac:dyDescent="0.25"/>
    <row r="609" s="82" customFormat="1" x14ac:dyDescent="0.25"/>
    <row r="610" s="82" customFormat="1" x14ac:dyDescent="0.25"/>
    <row r="611" s="82" customFormat="1" x14ac:dyDescent="0.25"/>
    <row r="612" s="82" customFormat="1" x14ac:dyDescent="0.25"/>
    <row r="613" s="82" customFormat="1" x14ac:dyDescent="0.25"/>
    <row r="614" s="82" customFormat="1" x14ac:dyDescent="0.25"/>
    <row r="615" s="82" customFormat="1" x14ac:dyDescent="0.25"/>
    <row r="616" s="82" customFormat="1" x14ac:dyDescent="0.25"/>
    <row r="617" s="82" customFormat="1" x14ac:dyDescent="0.25"/>
    <row r="618" s="82" customFormat="1" x14ac:dyDescent="0.25"/>
    <row r="619" s="82" customFormat="1" x14ac:dyDescent="0.25"/>
    <row r="620" s="82" customFormat="1" x14ac:dyDescent="0.25"/>
    <row r="621" s="82" customFormat="1" x14ac:dyDescent="0.25"/>
    <row r="622" s="82" customFormat="1" x14ac:dyDescent="0.25"/>
    <row r="623" s="82" customFormat="1" x14ac:dyDescent="0.25"/>
    <row r="624" s="82" customFormat="1" x14ac:dyDescent="0.25"/>
    <row r="625" s="82" customFormat="1" x14ac:dyDescent="0.25"/>
    <row r="626" s="82" customFormat="1" x14ac:dyDescent="0.25"/>
    <row r="627" s="82" customFormat="1" x14ac:dyDescent="0.25"/>
    <row r="628" s="82" customFormat="1" x14ac:dyDescent="0.25"/>
    <row r="629" s="82" customFormat="1" x14ac:dyDescent="0.25"/>
    <row r="630" s="82" customFormat="1" x14ac:dyDescent="0.25"/>
    <row r="631" s="82" customFormat="1" x14ac:dyDescent="0.25"/>
    <row r="632" s="82" customFormat="1" x14ac:dyDescent="0.25"/>
    <row r="633" s="82" customFormat="1" x14ac:dyDescent="0.25"/>
    <row r="634" s="82" customFormat="1" x14ac:dyDescent="0.25"/>
    <row r="635" s="82" customFormat="1" x14ac:dyDescent="0.25"/>
    <row r="636" s="82" customFormat="1" x14ac:dyDescent="0.25"/>
    <row r="637" s="82" customFormat="1" x14ac:dyDescent="0.25"/>
    <row r="638" s="82" customFormat="1" x14ac:dyDescent="0.25"/>
    <row r="639" s="82" customFormat="1" x14ac:dyDescent="0.25"/>
    <row r="640" s="82" customFormat="1" x14ac:dyDescent="0.25"/>
    <row r="641" s="82" customFormat="1" x14ac:dyDescent="0.25"/>
    <row r="642" s="82" customFormat="1" x14ac:dyDescent="0.25"/>
    <row r="643" s="82" customFormat="1" x14ac:dyDescent="0.25"/>
    <row r="644" s="82" customFormat="1" x14ac:dyDescent="0.25"/>
    <row r="645" s="82" customFormat="1" x14ac:dyDescent="0.25"/>
    <row r="646" s="82" customFormat="1" x14ac:dyDescent="0.25"/>
    <row r="647" s="82" customFormat="1" x14ac:dyDescent="0.25"/>
    <row r="648" s="82" customFormat="1" x14ac:dyDescent="0.25"/>
    <row r="649" s="82" customFormat="1" x14ac:dyDescent="0.25"/>
    <row r="650" s="82" customFormat="1" x14ac:dyDescent="0.25"/>
    <row r="651" s="82" customFormat="1" x14ac:dyDescent="0.25"/>
    <row r="652" s="82" customFormat="1" x14ac:dyDescent="0.25"/>
    <row r="653" s="82" customFormat="1" x14ac:dyDescent="0.25"/>
    <row r="654" s="82" customFormat="1" x14ac:dyDescent="0.25"/>
    <row r="655" s="82" customFormat="1" x14ac:dyDescent="0.25"/>
    <row r="656" s="82" customFormat="1" x14ac:dyDescent="0.25"/>
    <row r="657" s="82" customFormat="1" x14ac:dyDescent="0.25"/>
    <row r="658" s="82" customFormat="1" x14ac:dyDescent="0.25"/>
    <row r="659" s="82" customFormat="1" x14ac:dyDescent="0.25"/>
    <row r="660" s="82" customFormat="1" x14ac:dyDescent="0.25"/>
    <row r="661" s="82" customFormat="1" x14ac:dyDescent="0.25"/>
    <row r="662" s="82" customFormat="1" x14ac:dyDescent="0.25"/>
    <row r="663" s="82" customFormat="1" x14ac:dyDescent="0.25"/>
    <row r="664" s="82" customFormat="1" x14ac:dyDescent="0.25"/>
    <row r="665" s="82" customFormat="1" x14ac:dyDescent="0.25"/>
    <row r="666" s="82" customFormat="1" x14ac:dyDescent="0.25"/>
    <row r="667" s="82" customFormat="1" x14ac:dyDescent="0.25"/>
    <row r="668" s="82" customFormat="1" x14ac:dyDescent="0.25"/>
    <row r="669" s="82" customFormat="1" x14ac:dyDescent="0.25"/>
    <row r="670" s="82" customFormat="1" x14ac:dyDescent="0.25"/>
    <row r="671" s="82" customFormat="1" x14ac:dyDescent="0.25"/>
    <row r="672" s="82" customFormat="1" x14ac:dyDescent="0.25"/>
    <row r="673" s="82" customFormat="1" x14ac:dyDescent="0.25"/>
    <row r="674" s="82" customFormat="1" x14ac:dyDescent="0.25"/>
    <row r="675" s="82" customFormat="1" x14ac:dyDescent="0.25"/>
    <row r="676" s="82" customFormat="1" x14ac:dyDescent="0.25"/>
    <row r="677" s="82" customFormat="1" x14ac:dyDescent="0.25"/>
    <row r="678" s="82" customFormat="1" x14ac:dyDescent="0.25"/>
    <row r="679" s="82" customFormat="1" x14ac:dyDescent="0.25"/>
    <row r="680" s="82" customFormat="1" x14ac:dyDescent="0.25"/>
    <row r="681" s="82" customFormat="1" x14ac:dyDescent="0.25"/>
    <row r="682" s="82" customFormat="1" x14ac:dyDescent="0.25"/>
    <row r="683" s="82" customFormat="1" x14ac:dyDescent="0.25"/>
    <row r="684" s="82" customFormat="1" x14ac:dyDescent="0.25"/>
    <row r="685" s="82" customFormat="1" x14ac:dyDescent="0.25"/>
    <row r="686" s="82" customFormat="1" x14ac:dyDescent="0.25"/>
    <row r="687" s="82" customFormat="1" x14ac:dyDescent="0.25"/>
    <row r="688" s="82" customFormat="1" x14ac:dyDescent="0.25"/>
    <row r="689" s="82" customFormat="1" x14ac:dyDescent="0.25"/>
    <row r="690" s="82" customFormat="1" x14ac:dyDescent="0.25"/>
    <row r="691" s="82" customFormat="1" x14ac:dyDescent="0.25"/>
    <row r="692" s="82" customFormat="1" x14ac:dyDescent="0.25"/>
    <row r="693" s="82" customFormat="1" x14ac:dyDescent="0.25"/>
    <row r="694" s="82" customFormat="1" x14ac:dyDescent="0.25"/>
    <row r="695" s="82" customFormat="1" x14ac:dyDescent="0.25"/>
    <row r="696" s="82" customFormat="1" x14ac:dyDescent="0.25"/>
    <row r="697" s="82" customFormat="1" x14ac:dyDescent="0.25"/>
    <row r="698" s="82" customFormat="1" x14ac:dyDescent="0.25"/>
    <row r="699" s="82" customFormat="1" x14ac:dyDescent="0.25"/>
    <row r="700" s="82" customFormat="1" x14ac:dyDescent="0.25"/>
    <row r="701" s="82" customFormat="1" x14ac:dyDescent="0.25"/>
    <row r="702" s="82" customFormat="1" x14ac:dyDescent="0.25"/>
    <row r="703" s="82" customFormat="1" x14ac:dyDescent="0.25"/>
    <row r="704" s="82" customFormat="1" x14ac:dyDescent="0.25"/>
    <row r="705" s="82" customFormat="1" x14ac:dyDescent="0.25"/>
    <row r="706" s="82" customFormat="1" x14ac:dyDescent="0.25"/>
    <row r="707" s="82" customFormat="1" x14ac:dyDescent="0.25"/>
    <row r="708" s="82" customFormat="1" x14ac:dyDescent="0.25"/>
    <row r="709" s="82" customFormat="1" x14ac:dyDescent="0.25"/>
    <row r="710" s="82" customFormat="1" x14ac:dyDescent="0.25"/>
    <row r="711" s="82" customFormat="1" x14ac:dyDescent="0.25"/>
    <row r="712" s="82" customFormat="1" x14ac:dyDescent="0.25"/>
    <row r="713" s="82" customFormat="1" x14ac:dyDescent="0.25"/>
    <row r="714" s="82" customFormat="1" x14ac:dyDescent="0.25"/>
    <row r="715" s="82" customFormat="1" x14ac:dyDescent="0.25"/>
    <row r="716" s="82" customFormat="1" x14ac:dyDescent="0.25"/>
    <row r="717" s="82" customFormat="1" x14ac:dyDescent="0.25"/>
    <row r="718" s="82" customFormat="1" x14ac:dyDescent="0.25"/>
    <row r="719" s="82" customFormat="1" x14ac:dyDescent="0.25"/>
    <row r="720" s="82" customFormat="1" x14ac:dyDescent="0.25"/>
    <row r="721" s="82" customFormat="1" x14ac:dyDescent="0.25"/>
    <row r="722" s="82" customFormat="1" x14ac:dyDescent="0.25"/>
    <row r="723" s="82" customFormat="1" x14ac:dyDescent="0.25"/>
    <row r="724" s="82" customFormat="1" x14ac:dyDescent="0.25"/>
    <row r="725" s="82" customFormat="1" x14ac:dyDescent="0.25"/>
    <row r="726" s="82" customFormat="1" x14ac:dyDescent="0.25"/>
    <row r="727" s="82" customFormat="1" x14ac:dyDescent="0.25"/>
    <row r="728" s="82" customFormat="1" x14ac:dyDescent="0.25"/>
    <row r="729" s="82" customFormat="1" x14ac:dyDescent="0.25"/>
    <row r="730" s="82" customFormat="1" x14ac:dyDescent="0.25"/>
    <row r="731" s="82" customFormat="1" x14ac:dyDescent="0.25"/>
    <row r="732" s="82" customFormat="1" x14ac:dyDescent="0.25"/>
    <row r="733" s="82" customFormat="1" x14ac:dyDescent="0.25"/>
    <row r="734" s="82" customFormat="1" x14ac:dyDescent="0.25"/>
    <row r="735" s="82" customFormat="1" x14ac:dyDescent="0.25"/>
    <row r="736" s="82" customFormat="1" x14ac:dyDescent="0.25"/>
    <row r="737" s="82" customFormat="1" x14ac:dyDescent="0.25"/>
    <row r="738" s="82" customFormat="1" x14ac:dyDescent="0.25"/>
    <row r="739" s="82" customFormat="1" x14ac:dyDescent="0.25"/>
    <row r="740" s="82" customFormat="1" x14ac:dyDescent="0.25"/>
    <row r="741" s="82" customFormat="1" x14ac:dyDescent="0.25"/>
    <row r="742" s="82" customFormat="1" x14ac:dyDescent="0.25"/>
    <row r="743" s="82" customFormat="1" x14ac:dyDescent="0.25"/>
    <row r="744" s="82" customFormat="1" x14ac:dyDescent="0.25"/>
    <row r="745" s="82" customFormat="1" x14ac:dyDescent="0.25"/>
    <row r="746" s="82" customFormat="1" x14ac:dyDescent="0.25"/>
    <row r="747" s="82" customFormat="1" x14ac:dyDescent="0.25"/>
    <row r="748" s="82" customFormat="1" x14ac:dyDescent="0.25"/>
    <row r="749" s="82" customFormat="1" x14ac:dyDescent="0.25"/>
    <row r="750" s="82" customFormat="1" x14ac:dyDescent="0.25"/>
    <row r="751" s="82" customFormat="1" x14ac:dyDescent="0.25"/>
    <row r="752" s="82" customFormat="1" x14ac:dyDescent="0.25"/>
    <row r="753" s="82" customFormat="1" x14ac:dyDescent="0.25"/>
    <row r="754" s="82" customFormat="1" x14ac:dyDescent="0.25"/>
    <row r="755" s="82" customFormat="1" x14ac:dyDescent="0.25"/>
    <row r="756" s="82" customFormat="1" x14ac:dyDescent="0.25"/>
    <row r="757" s="82" customFormat="1" x14ac:dyDescent="0.25"/>
    <row r="758" s="82" customFormat="1" x14ac:dyDescent="0.25"/>
    <row r="759" s="82" customFormat="1" x14ac:dyDescent="0.25"/>
    <row r="760" s="82" customFormat="1" x14ac:dyDescent="0.25"/>
    <row r="761" s="82" customFormat="1" x14ac:dyDescent="0.25"/>
    <row r="762" s="82" customFormat="1" x14ac:dyDescent="0.25"/>
    <row r="763" s="82" customFormat="1" x14ac:dyDescent="0.25"/>
    <row r="764" s="82" customFormat="1" x14ac:dyDescent="0.25"/>
    <row r="765" s="82" customFormat="1" x14ac:dyDescent="0.25"/>
    <row r="766" s="82" customFormat="1" x14ac:dyDescent="0.25"/>
    <row r="767" s="82" customFormat="1" x14ac:dyDescent="0.25"/>
    <row r="768" s="82" customFormat="1" x14ac:dyDescent="0.25"/>
    <row r="769" s="82" customFormat="1" x14ac:dyDescent="0.25"/>
    <row r="770" s="82" customFormat="1" x14ac:dyDescent="0.25"/>
    <row r="771" s="82" customFormat="1" x14ac:dyDescent="0.25"/>
    <row r="772" s="82" customFormat="1" x14ac:dyDescent="0.25"/>
    <row r="773" s="82" customFormat="1" x14ac:dyDescent="0.25"/>
    <row r="774" s="82" customFormat="1" x14ac:dyDescent="0.25"/>
    <row r="775" s="82" customFormat="1" x14ac:dyDescent="0.25"/>
    <row r="776" s="82" customFormat="1" x14ac:dyDescent="0.25"/>
    <row r="777" s="82" customFormat="1" x14ac:dyDescent="0.25"/>
    <row r="778" s="82" customFormat="1" x14ac:dyDescent="0.25"/>
    <row r="779" s="82" customFormat="1" x14ac:dyDescent="0.25"/>
    <row r="780" s="82" customFormat="1" x14ac:dyDescent="0.25"/>
    <row r="781" s="82" customFormat="1" x14ac:dyDescent="0.25"/>
    <row r="782" s="82" customFormat="1" x14ac:dyDescent="0.25"/>
    <row r="783" s="82" customFormat="1" x14ac:dyDescent="0.25"/>
    <row r="784" s="82" customFormat="1" x14ac:dyDescent="0.25"/>
    <row r="785" s="82" customFormat="1" x14ac:dyDescent="0.25"/>
    <row r="786" s="82" customFormat="1" x14ac:dyDescent="0.25"/>
    <row r="787" s="82" customFormat="1" x14ac:dyDescent="0.25"/>
    <row r="788" s="82" customFormat="1" x14ac:dyDescent="0.25"/>
    <row r="789" s="82" customFormat="1" x14ac:dyDescent="0.25"/>
    <row r="790" s="82" customFormat="1" x14ac:dyDescent="0.25"/>
    <row r="791" s="82" customFormat="1" x14ac:dyDescent="0.25"/>
    <row r="792" s="82" customFormat="1" x14ac:dyDescent="0.25"/>
    <row r="793" s="82" customFormat="1" x14ac:dyDescent="0.25"/>
    <row r="794" s="82" customFormat="1" x14ac:dyDescent="0.25"/>
    <row r="795" s="82" customFormat="1" x14ac:dyDescent="0.25"/>
    <row r="796" s="82" customFormat="1" x14ac:dyDescent="0.25"/>
    <row r="797" s="82" customFormat="1" x14ac:dyDescent="0.25"/>
    <row r="798" s="82" customFormat="1" x14ac:dyDescent="0.25"/>
    <row r="799" s="82" customFormat="1" x14ac:dyDescent="0.25"/>
    <row r="800" s="82" customFormat="1" x14ac:dyDescent="0.25"/>
    <row r="801" s="82" customFormat="1" x14ac:dyDescent="0.25"/>
    <row r="802" s="82" customFormat="1" x14ac:dyDescent="0.25"/>
    <row r="803" s="82" customFormat="1" x14ac:dyDescent="0.25"/>
    <row r="804" s="82" customFormat="1" x14ac:dyDescent="0.25"/>
    <row r="805" s="82" customFormat="1" x14ac:dyDescent="0.25"/>
    <row r="806" s="82" customFormat="1" x14ac:dyDescent="0.25"/>
    <row r="807" s="82" customFormat="1" x14ac:dyDescent="0.25"/>
    <row r="808" s="82" customFormat="1" x14ac:dyDescent="0.25"/>
    <row r="809" s="82" customFormat="1" x14ac:dyDescent="0.25"/>
    <row r="810" s="82" customFormat="1" x14ac:dyDescent="0.25"/>
    <row r="811" s="82" customFormat="1" x14ac:dyDescent="0.25"/>
    <row r="812" s="82" customFormat="1" x14ac:dyDescent="0.25"/>
    <row r="813" s="82" customFormat="1" x14ac:dyDescent="0.25"/>
    <row r="814" s="82" customFormat="1" x14ac:dyDescent="0.25"/>
    <row r="815" s="82" customFormat="1" x14ac:dyDescent="0.25"/>
    <row r="816" s="82" customFormat="1" x14ac:dyDescent="0.25"/>
    <row r="817" s="82" customFormat="1" x14ac:dyDescent="0.25"/>
    <row r="818" s="82" customFormat="1" x14ac:dyDescent="0.25"/>
    <row r="819" s="82" customFormat="1" x14ac:dyDescent="0.25"/>
    <row r="820" s="82" customFormat="1" x14ac:dyDescent="0.25"/>
    <row r="821" s="82" customFormat="1" x14ac:dyDescent="0.25"/>
    <row r="822" s="82" customFormat="1" x14ac:dyDescent="0.25"/>
    <row r="823" s="82" customFormat="1" x14ac:dyDescent="0.25"/>
    <row r="824" s="82" customFormat="1" x14ac:dyDescent="0.25"/>
    <row r="825" s="82" customFormat="1" x14ac:dyDescent="0.25"/>
    <row r="826" s="82" customFormat="1" x14ac:dyDescent="0.25"/>
    <row r="827" s="82" customFormat="1" x14ac:dyDescent="0.25"/>
    <row r="828" s="82" customFormat="1" x14ac:dyDescent="0.25"/>
    <row r="829" s="82" customFormat="1" x14ac:dyDescent="0.25"/>
    <row r="830" s="82" customFormat="1" x14ac:dyDescent="0.25"/>
    <row r="831" s="82" customFormat="1" x14ac:dyDescent="0.25"/>
    <row r="832" s="82" customFormat="1" x14ac:dyDescent="0.25"/>
    <row r="833" s="82" customFormat="1" x14ac:dyDescent="0.25"/>
    <row r="834" s="82" customFormat="1" x14ac:dyDescent="0.25"/>
    <row r="835" s="82" customFormat="1" x14ac:dyDescent="0.25"/>
    <row r="836" s="82" customFormat="1" x14ac:dyDescent="0.25"/>
    <row r="837" s="82" customFormat="1" x14ac:dyDescent="0.25"/>
    <row r="838" s="82" customFormat="1" x14ac:dyDescent="0.25"/>
    <row r="839" s="82" customFormat="1" x14ac:dyDescent="0.25"/>
    <row r="840" s="82" customFormat="1" x14ac:dyDescent="0.25"/>
    <row r="841" s="82" customFormat="1" x14ac:dyDescent="0.25"/>
    <row r="842" s="82" customFormat="1" x14ac:dyDescent="0.25"/>
    <row r="843" s="82" customFormat="1" x14ac:dyDescent="0.25"/>
    <row r="844" s="82" customFormat="1" x14ac:dyDescent="0.25"/>
    <row r="845" s="82" customFormat="1" x14ac:dyDescent="0.25"/>
    <row r="846" s="82" customFormat="1" x14ac:dyDescent="0.25"/>
    <row r="847" s="82" customFormat="1" x14ac:dyDescent="0.25"/>
    <row r="848" s="82" customFormat="1" x14ac:dyDescent="0.25"/>
    <row r="849" s="82" customFormat="1" x14ac:dyDescent="0.25"/>
    <row r="850" s="82" customFormat="1" x14ac:dyDescent="0.25"/>
    <row r="851" s="82" customFormat="1" x14ac:dyDescent="0.25"/>
    <row r="852" s="82" customFormat="1" x14ac:dyDescent="0.25"/>
    <row r="853" s="82" customFormat="1" x14ac:dyDescent="0.25"/>
    <row r="854" s="82" customFormat="1" x14ac:dyDescent="0.25"/>
    <row r="855" s="82" customFormat="1" x14ac:dyDescent="0.25"/>
    <row r="856" s="82" customFormat="1" x14ac:dyDescent="0.25"/>
    <row r="857" s="82" customFormat="1" x14ac:dyDescent="0.25"/>
    <row r="858" s="82" customFormat="1" x14ac:dyDescent="0.25"/>
    <row r="859" s="82" customFormat="1" x14ac:dyDescent="0.25"/>
    <row r="860" s="82" customFormat="1" x14ac:dyDescent="0.25"/>
    <row r="861" s="82" customFormat="1" x14ac:dyDescent="0.25"/>
    <row r="862" s="82" customFormat="1" x14ac:dyDescent="0.25"/>
    <row r="863" s="82" customFormat="1" x14ac:dyDescent="0.25"/>
    <row r="864" s="82" customFormat="1" x14ac:dyDescent="0.25"/>
    <row r="865" s="82" customFormat="1" x14ac:dyDescent="0.25"/>
    <row r="866" s="82" customFormat="1" x14ac:dyDescent="0.25"/>
    <row r="867" s="82" customFormat="1" x14ac:dyDescent="0.25"/>
    <row r="868" s="82" customFormat="1" x14ac:dyDescent="0.25"/>
    <row r="869" s="82" customFormat="1" x14ac:dyDescent="0.25"/>
    <row r="870" s="82" customFormat="1" x14ac:dyDescent="0.25"/>
    <row r="871" s="82" customFormat="1" x14ac:dyDescent="0.25"/>
    <row r="872" s="82" customFormat="1" x14ac:dyDescent="0.25"/>
    <row r="873" s="82" customFormat="1" x14ac:dyDescent="0.25"/>
    <row r="874" s="82" customFormat="1" x14ac:dyDescent="0.25"/>
    <row r="875" s="82" customFormat="1" x14ac:dyDescent="0.25"/>
    <row r="876" s="82" customFormat="1" x14ac:dyDescent="0.25"/>
    <row r="877" s="82" customFormat="1" x14ac:dyDescent="0.25"/>
    <row r="878" s="82" customFormat="1" x14ac:dyDescent="0.25"/>
    <row r="879" s="82" customFormat="1" x14ac:dyDescent="0.25"/>
    <row r="880" s="82" customFormat="1" x14ac:dyDescent="0.25"/>
    <row r="881" s="82" customFormat="1" x14ac:dyDescent="0.25"/>
    <row r="882" s="82" customFormat="1" x14ac:dyDescent="0.25"/>
    <row r="883" s="82" customFormat="1" x14ac:dyDescent="0.25"/>
    <row r="884" s="82" customFormat="1" x14ac:dyDescent="0.25"/>
    <row r="885" s="82" customFormat="1" x14ac:dyDescent="0.25"/>
    <row r="886" s="82" customFormat="1" x14ac:dyDescent="0.25"/>
    <row r="887" s="82" customFormat="1" x14ac:dyDescent="0.25"/>
    <row r="888" s="82" customFormat="1" x14ac:dyDescent="0.25"/>
    <row r="889" s="82" customFormat="1" x14ac:dyDescent="0.25"/>
    <row r="890" s="82" customFormat="1" x14ac:dyDescent="0.25"/>
    <row r="891" s="82" customFormat="1" x14ac:dyDescent="0.25"/>
    <row r="892" s="82" customFormat="1" x14ac:dyDescent="0.25"/>
    <row r="893" s="82" customFormat="1" x14ac:dyDescent="0.25"/>
    <row r="894" s="82" customFormat="1" x14ac:dyDescent="0.25"/>
    <row r="895" s="82" customFormat="1" x14ac:dyDescent="0.25"/>
    <row r="896" s="82" customFormat="1" x14ac:dyDescent="0.25"/>
    <row r="897" s="82" customFormat="1" x14ac:dyDescent="0.25"/>
    <row r="898" s="82" customFormat="1" x14ac:dyDescent="0.25"/>
    <row r="899" s="82" customFormat="1" x14ac:dyDescent="0.25"/>
    <row r="900" s="82" customFormat="1" x14ac:dyDescent="0.25"/>
    <row r="901" s="82" customFormat="1" x14ac:dyDescent="0.25"/>
    <row r="902" s="82" customFormat="1" x14ac:dyDescent="0.25"/>
    <row r="903" s="82" customFormat="1" x14ac:dyDescent="0.25"/>
    <row r="904" s="82" customFormat="1" x14ac:dyDescent="0.25"/>
    <row r="905" s="82" customFormat="1" x14ac:dyDescent="0.25"/>
    <row r="906" s="82" customFormat="1" x14ac:dyDescent="0.25"/>
    <row r="907" s="82" customFormat="1" x14ac:dyDescent="0.25"/>
    <row r="908" s="82" customFormat="1" x14ac:dyDescent="0.25"/>
    <row r="909" s="82" customFormat="1" x14ac:dyDescent="0.25"/>
    <row r="910" s="82" customFormat="1" x14ac:dyDescent="0.25"/>
    <row r="911" s="82" customFormat="1" x14ac:dyDescent="0.25"/>
    <row r="912" s="82" customFormat="1" x14ac:dyDescent="0.25"/>
    <row r="913" s="82" customFormat="1" x14ac:dyDescent="0.25"/>
    <row r="914" s="82" customFormat="1" x14ac:dyDescent="0.25"/>
    <row r="915" s="82" customFormat="1" x14ac:dyDescent="0.25"/>
    <row r="916" s="82" customFormat="1" x14ac:dyDescent="0.25"/>
    <row r="917" s="82" customFormat="1" x14ac:dyDescent="0.25"/>
    <row r="918" s="82" customFormat="1" x14ac:dyDescent="0.25"/>
    <row r="919" s="82" customFormat="1" x14ac:dyDescent="0.25"/>
    <row r="920" s="82" customFormat="1" x14ac:dyDescent="0.25"/>
    <row r="921" s="82" customFormat="1" x14ac:dyDescent="0.25"/>
    <row r="922" s="82" customFormat="1" x14ac:dyDescent="0.25"/>
    <row r="923" s="82" customFormat="1" x14ac:dyDescent="0.25"/>
    <row r="924" s="82" customFormat="1" x14ac:dyDescent="0.25"/>
    <row r="925" s="82" customFormat="1" x14ac:dyDescent="0.25"/>
    <row r="926" s="82" customFormat="1" x14ac:dyDescent="0.25"/>
    <row r="927" s="82" customFormat="1" x14ac:dyDescent="0.25"/>
    <row r="928" s="82" customFormat="1" x14ac:dyDescent="0.25"/>
    <row r="929" s="82" customFormat="1" x14ac:dyDescent="0.25"/>
    <row r="930" s="82" customFormat="1" x14ac:dyDescent="0.25"/>
    <row r="931" s="82" customFormat="1" x14ac:dyDescent="0.25"/>
    <row r="932" s="82" customFormat="1" x14ac:dyDescent="0.25"/>
    <row r="933" s="82" customFormat="1" x14ac:dyDescent="0.25"/>
    <row r="934" s="82" customFormat="1" x14ac:dyDescent="0.25"/>
    <row r="935" s="82" customFormat="1" x14ac:dyDescent="0.25"/>
    <row r="936" s="82" customFormat="1" x14ac:dyDescent="0.25"/>
    <row r="937" s="82" customFormat="1" x14ac:dyDescent="0.25"/>
    <row r="938" s="82" customFormat="1" x14ac:dyDescent="0.25"/>
    <row r="939" s="82" customFormat="1" x14ac:dyDescent="0.25"/>
    <row r="940" s="82" customFormat="1" x14ac:dyDescent="0.25"/>
    <row r="941" s="82" customFormat="1" x14ac:dyDescent="0.25"/>
    <row r="942" s="82" customFormat="1" x14ac:dyDescent="0.25"/>
    <row r="943" s="82" customFormat="1" x14ac:dyDescent="0.25"/>
    <row r="944" s="82" customFormat="1" x14ac:dyDescent="0.25"/>
    <row r="945" s="82" customFormat="1" x14ac:dyDescent="0.25"/>
    <row r="946" s="82" customFormat="1" x14ac:dyDescent="0.25"/>
    <row r="947" s="82" customFormat="1" x14ac:dyDescent="0.25"/>
    <row r="948" s="82" customFormat="1" x14ac:dyDescent="0.25"/>
    <row r="949" s="82" customFormat="1" x14ac:dyDescent="0.25"/>
    <row r="950" s="82" customFormat="1" x14ac:dyDescent="0.25"/>
    <row r="951" s="82" customFormat="1" x14ac:dyDescent="0.25"/>
    <row r="952" s="82" customFormat="1" x14ac:dyDescent="0.25"/>
    <row r="953" s="82" customFormat="1" x14ac:dyDescent="0.25"/>
    <row r="954" s="82" customFormat="1" x14ac:dyDescent="0.25"/>
    <row r="955" s="82" customFormat="1" x14ac:dyDescent="0.25"/>
    <row r="956" s="82" customFormat="1" x14ac:dyDescent="0.25"/>
    <row r="957" s="82" customFormat="1" x14ac:dyDescent="0.25"/>
    <row r="958" s="82" customFormat="1" x14ac:dyDescent="0.25"/>
    <row r="959" s="82" customFormat="1" x14ac:dyDescent="0.25"/>
    <row r="960" s="82" customFormat="1" x14ac:dyDescent="0.25"/>
    <row r="961" s="82" customFormat="1" x14ac:dyDescent="0.25"/>
    <row r="962" s="82" customFormat="1" x14ac:dyDescent="0.25"/>
    <row r="963" s="82" customFormat="1" x14ac:dyDescent="0.25"/>
    <row r="964" s="82" customFormat="1" x14ac:dyDescent="0.25"/>
    <row r="965" s="82" customFormat="1" x14ac:dyDescent="0.25"/>
    <row r="966" s="82" customFormat="1" x14ac:dyDescent="0.25"/>
    <row r="967" s="82" customFormat="1" x14ac:dyDescent="0.25"/>
    <row r="968" s="82" customFormat="1" x14ac:dyDescent="0.25"/>
    <row r="969" s="82" customFormat="1" x14ac:dyDescent="0.25"/>
    <row r="970" s="82" customFormat="1" x14ac:dyDescent="0.25"/>
    <row r="971" s="82" customFormat="1" x14ac:dyDescent="0.25"/>
    <row r="972" s="82" customFormat="1" x14ac:dyDescent="0.25"/>
    <row r="973" s="82" customFormat="1" x14ac:dyDescent="0.25"/>
    <row r="974" s="82" customFormat="1" x14ac:dyDescent="0.25"/>
    <row r="975" s="82" customFormat="1" x14ac:dyDescent="0.25"/>
    <row r="976" s="82" customFormat="1" x14ac:dyDescent="0.25"/>
    <row r="977" s="82" customFormat="1" x14ac:dyDescent="0.25"/>
    <row r="978" s="82" customFormat="1" x14ac:dyDescent="0.25"/>
    <row r="979" s="82" customFormat="1" x14ac:dyDescent="0.25"/>
    <row r="980" s="82" customFormat="1" x14ac:dyDescent="0.25"/>
    <row r="981" s="82" customFormat="1" x14ac:dyDescent="0.25"/>
    <row r="982" s="82" customFormat="1" x14ac:dyDescent="0.25"/>
    <row r="983" s="82" customFormat="1" x14ac:dyDescent="0.25"/>
    <row r="984" s="82" customFormat="1" x14ac:dyDescent="0.25"/>
    <row r="985" s="82" customFormat="1" x14ac:dyDescent="0.25"/>
    <row r="986" s="82" customFormat="1" x14ac:dyDescent="0.25"/>
    <row r="987" s="82" customFormat="1" x14ac:dyDescent="0.25"/>
    <row r="988" s="82" customFormat="1" x14ac:dyDescent="0.25"/>
    <row r="989" s="82" customFormat="1" x14ac:dyDescent="0.25"/>
    <row r="990" s="82" customFormat="1" x14ac:dyDescent="0.25"/>
    <row r="991" s="82" customFormat="1" x14ac:dyDescent="0.25"/>
    <row r="992" s="82" customFormat="1" x14ac:dyDescent="0.25"/>
    <row r="993" s="82" customFormat="1" x14ac:dyDescent="0.25"/>
    <row r="994" s="82" customFormat="1" x14ac:dyDescent="0.25"/>
    <row r="995" s="82" customFormat="1" x14ac:dyDescent="0.25"/>
    <row r="996" s="82" customFormat="1" x14ac:dyDescent="0.25"/>
    <row r="997" s="82" customFormat="1" x14ac:dyDescent="0.25"/>
    <row r="998" s="82" customFormat="1" x14ac:dyDescent="0.25"/>
    <row r="999" s="82" customFormat="1" x14ac:dyDescent="0.25"/>
    <row r="1000" s="82" customFormat="1" x14ac:dyDescent="0.25"/>
    <row r="1001" s="82" customFormat="1" x14ac:dyDescent="0.25"/>
    <row r="1002" s="82" customFormat="1" x14ac:dyDescent="0.25"/>
    <row r="1003" s="82" customFormat="1" x14ac:dyDescent="0.25"/>
    <row r="1004" s="82" customFormat="1" x14ac:dyDescent="0.25"/>
    <row r="1005" s="82" customFormat="1" x14ac:dyDescent="0.25"/>
    <row r="1006" s="82" customFormat="1" x14ac:dyDescent="0.25"/>
    <row r="1007" s="82" customFormat="1" x14ac:dyDescent="0.25"/>
    <row r="1008" s="82" customFormat="1" x14ac:dyDescent="0.25"/>
    <row r="1009" s="82" customFormat="1" x14ac:dyDescent="0.25"/>
    <row r="1010" s="82" customFormat="1" x14ac:dyDescent="0.25"/>
    <row r="1011" s="82" customFormat="1" x14ac:dyDescent="0.25"/>
    <row r="1012" s="82" customFormat="1" x14ac:dyDescent="0.25"/>
    <row r="1013" s="82" customFormat="1" x14ac:dyDescent="0.25"/>
    <row r="1014" s="82" customFormat="1" x14ac:dyDescent="0.25"/>
    <row r="1015" s="82" customFormat="1" x14ac:dyDescent="0.25"/>
    <row r="1016" s="82" customFormat="1" x14ac:dyDescent="0.25"/>
    <row r="1017" s="82" customFormat="1" x14ac:dyDescent="0.25"/>
    <row r="1018" s="82" customFormat="1" x14ac:dyDescent="0.25"/>
    <row r="1019" s="82" customFormat="1" x14ac:dyDescent="0.25"/>
    <row r="1020" s="82" customFormat="1" x14ac:dyDescent="0.25"/>
    <row r="1021" s="82" customFormat="1" x14ac:dyDescent="0.25"/>
    <row r="1022" s="82" customFormat="1" x14ac:dyDescent="0.25"/>
    <row r="1023" s="82" customFormat="1" x14ac:dyDescent="0.25"/>
    <row r="1024" s="82" customFormat="1" x14ac:dyDescent="0.25"/>
    <row r="1025" s="82" customFormat="1" x14ac:dyDescent="0.25"/>
    <row r="1026" s="82" customFormat="1" x14ac:dyDescent="0.25"/>
    <row r="1027" s="82" customFormat="1" x14ac:dyDescent="0.25"/>
    <row r="1028" s="82" customFormat="1" x14ac:dyDescent="0.25"/>
    <row r="1029" s="82" customFormat="1" x14ac:dyDescent="0.25"/>
    <row r="1030" s="82" customFormat="1" x14ac:dyDescent="0.25"/>
    <row r="1031" s="82" customFormat="1" x14ac:dyDescent="0.25"/>
    <row r="1032" s="82" customFormat="1" x14ac:dyDescent="0.25"/>
    <row r="1033" s="82" customFormat="1" x14ac:dyDescent="0.25"/>
    <row r="1034" s="82" customFormat="1" x14ac:dyDescent="0.25"/>
    <row r="1035" s="82" customFormat="1" x14ac:dyDescent="0.25"/>
    <row r="1036" s="82" customFormat="1" x14ac:dyDescent="0.25"/>
    <row r="1037" s="82" customFormat="1" x14ac:dyDescent="0.25"/>
    <row r="1038" s="82" customFormat="1" x14ac:dyDescent="0.25"/>
    <row r="1039" s="82" customFormat="1" x14ac:dyDescent="0.25"/>
    <row r="1040" s="82" customFormat="1" x14ac:dyDescent="0.25"/>
    <row r="1041" s="82" customFormat="1" x14ac:dyDescent="0.25"/>
    <row r="1042" s="82" customFormat="1" x14ac:dyDescent="0.25"/>
    <row r="1043" s="82" customFormat="1" x14ac:dyDescent="0.25"/>
    <row r="1044" s="82" customFormat="1" x14ac:dyDescent="0.25"/>
    <row r="1045" s="82" customFormat="1" x14ac:dyDescent="0.25"/>
    <row r="1046" s="82" customFormat="1" x14ac:dyDescent="0.25"/>
    <row r="1047" s="82" customFormat="1" x14ac:dyDescent="0.25"/>
    <row r="1048" s="82" customFormat="1" x14ac:dyDescent="0.25"/>
    <row r="1049" s="82" customFormat="1" x14ac:dyDescent="0.25"/>
    <row r="1050" s="82" customFormat="1" x14ac:dyDescent="0.25"/>
    <row r="1051" s="82" customFormat="1" x14ac:dyDescent="0.25"/>
    <row r="1052" s="82" customFormat="1" x14ac:dyDescent="0.25"/>
    <row r="1053" s="82" customFormat="1" x14ac:dyDescent="0.25"/>
    <row r="1054" s="82" customFormat="1" x14ac:dyDescent="0.25"/>
    <row r="1055" s="82" customFormat="1" x14ac:dyDescent="0.25"/>
    <row r="1056" s="82" customFormat="1" x14ac:dyDescent="0.25"/>
    <row r="1057" s="82" customFormat="1" x14ac:dyDescent="0.25"/>
    <row r="1058" s="82" customFormat="1" x14ac:dyDescent="0.25"/>
    <row r="1059" s="82" customFormat="1" x14ac:dyDescent="0.25"/>
    <row r="1060" s="82" customFormat="1" x14ac:dyDescent="0.25"/>
    <row r="1061" s="82" customFormat="1" x14ac:dyDescent="0.25"/>
    <row r="1062" s="82" customFormat="1" x14ac:dyDescent="0.25"/>
    <row r="1063" s="82" customFormat="1" x14ac:dyDescent="0.25"/>
    <row r="1064" s="82" customFormat="1" x14ac:dyDescent="0.25"/>
    <row r="1065" s="82" customFormat="1" x14ac:dyDescent="0.25"/>
    <row r="1066" s="82" customFormat="1" x14ac:dyDescent="0.25"/>
    <row r="1067" s="82" customFormat="1" x14ac:dyDescent="0.25"/>
    <row r="1068" s="82" customFormat="1" x14ac:dyDescent="0.25"/>
    <row r="1069" s="82" customFormat="1" x14ac:dyDescent="0.25"/>
    <row r="1070" s="82" customFormat="1" x14ac:dyDescent="0.25"/>
    <row r="1071" s="82" customFormat="1" x14ac:dyDescent="0.25"/>
    <row r="1072" s="82" customFormat="1" x14ac:dyDescent="0.25"/>
    <row r="1073" s="82" customFormat="1" x14ac:dyDescent="0.25"/>
    <row r="1074" s="82" customFormat="1" x14ac:dyDescent="0.25"/>
    <row r="1075" s="82" customFormat="1" x14ac:dyDescent="0.25"/>
    <row r="1076" s="82" customFormat="1" x14ac:dyDescent="0.25"/>
    <row r="1077" s="82" customFormat="1" x14ac:dyDescent="0.25"/>
    <row r="1078" s="82" customFormat="1" x14ac:dyDescent="0.25"/>
    <row r="1079" s="82" customFormat="1" x14ac:dyDescent="0.25"/>
    <row r="1080" s="82" customFormat="1" x14ac:dyDescent="0.25"/>
    <row r="1081" s="82" customFormat="1" x14ac:dyDescent="0.25"/>
    <row r="1082" s="82" customFormat="1" x14ac:dyDescent="0.25"/>
    <row r="1083" s="82" customFormat="1" x14ac:dyDescent="0.25"/>
    <row r="1084" s="82" customFormat="1" x14ac:dyDescent="0.25"/>
    <row r="1085" s="82" customFormat="1" x14ac:dyDescent="0.25"/>
    <row r="1086" s="82" customFormat="1" x14ac:dyDescent="0.25"/>
    <row r="1087" s="82" customFormat="1" x14ac:dyDescent="0.25"/>
    <row r="1088" s="82" customFormat="1" x14ac:dyDescent="0.25"/>
    <row r="1089" s="82" customFormat="1" x14ac:dyDescent="0.25"/>
    <row r="1090" s="82" customFormat="1" x14ac:dyDescent="0.25"/>
    <row r="1091" s="82" customFormat="1" x14ac:dyDescent="0.25"/>
    <row r="1092" s="82" customFormat="1" x14ac:dyDescent="0.25"/>
    <row r="1093" s="82" customFormat="1" x14ac:dyDescent="0.25"/>
    <row r="1094" s="82" customFormat="1" x14ac:dyDescent="0.25"/>
    <row r="1095" s="82" customFormat="1" x14ac:dyDescent="0.25"/>
    <row r="1096" s="82" customFormat="1" x14ac:dyDescent="0.25"/>
    <row r="1097" s="82" customFormat="1" x14ac:dyDescent="0.25"/>
    <row r="1098" s="82" customFormat="1" x14ac:dyDescent="0.25"/>
    <row r="1099" s="82" customFormat="1" x14ac:dyDescent="0.25"/>
    <row r="1100" s="82" customFormat="1" x14ac:dyDescent="0.25"/>
    <row r="1101" s="82" customFormat="1" x14ac:dyDescent="0.25"/>
    <row r="1102" s="82" customFormat="1" x14ac:dyDescent="0.25"/>
    <row r="1103" s="82" customFormat="1" x14ac:dyDescent="0.25"/>
    <row r="1104" s="82" customFormat="1" x14ac:dyDescent="0.25"/>
    <row r="1105" s="82" customFormat="1" x14ac:dyDescent="0.25"/>
    <row r="1106" s="82" customFormat="1" x14ac:dyDescent="0.25"/>
    <row r="1107" s="82" customFormat="1" x14ac:dyDescent="0.25"/>
    <row r="1108" s="82" customFormat="1" x14ac:dyDescent="0.25"/>
    <row r="1109" s="82" customFormat="1" x14ac:dyDescent="0.25"/>
    <row r="1110" s="82" customFormat="1" x14ac:dyDescent="0.25"/>
    <row r="1111" s="82" customFormat="1" x14ac:dyDescent="0.25"/>
    <row r="1112" s="82" customFormat="1" x14ac:dyDescent="0.25"/>
    <row r="1113" s="82" customFormat="1" x14ac:dyDescent="0.25"/>
    <row r="1114" s="82" customFormat="1" x14ac:dyDescent="0.25"/>
    <row r="1115" s="82" customFormat="1" x14ac:dyDescent="0.25"/>
    <row r="1116" s="82" customFormat="1" x14ac:dyDescent="0.25"/>
    <row r="1117" s="82" customFormat="1" x14ac:dyDescent="0.25"/>
    <row r="1118" s="82" customFormat="1" x14ac:dyDescent="0.25"/>
    <row r="1119" s="82" customFormat="1" x14ac:dyDescent="0.25"/>
    <row r="1120" s="82" customFormat="1" x14ac:dyDescent="0.25"/>
    <row r="1121" s="82" customFormat="1" x14ac:dyDescent="0.25"/>
    <row r="1122" s="82" customFormat="1" x14ac:dyDescent="0.25"/>
    <row r="1123" s="82" customFormat="1" x14ac:dyDescent="0.25"/>
    <row r="1124" s="82" customFormat="1" x14ac:dyDescent="0.25"/>
    <row r="1125" s="82" customFormat="1" x14ac:dyDescent="0.25"/>
    <row r="1126" s="82" customFormat="1" x14ac:dyDescent="0.25"/>
    <row r="1127" s="82" customFormat="1" x14ac:dyDescent="0.25"/>
    <row r="1128" s="82" customFormat="1" x14ac:dyDescent="0.25"/>
    <row r="1129" s="82" customFormat="1" x14ac:dyDescent="0.25"/>
    <row r="1130" s="82" customFormat="1" x14ac:dyDescent="0.25"/>
    <row r="1131" s="82" customFormat="1" x14ac:dyDescent="0.25"/>
    <row r="1132" s="82" customFormat="1" x14ac:dyDescent="0.25"/>
    <row r="1133" s="82" customFormat="1" x14ac:dyDescent="0.25"/>
    <row r="1134" s="82" customFormat="1" x14ac:dyDescent="0.25"/>
    <row r="1135" s="82" customFormat="1" x14ac:dyDescent="0.25"/>
    <row r="1136" s="82" customFormat="1" x14ac:dyDescent="0.25"/>
    <row r="1137" s="82" customFormat="1" x14ac:dyDescent="0.25"/>
    <row r="1138" s="82" customFormat="1" x14ac:dyDescent="0.25"/>
    <row r="1139" s="82" customFormat="1" x14ac:dyDescent="0.25"/>
    <row r="1140" s="82" customFormat="1" x14ac:dyDescent="0.25"/>
    <row r="1141" s="82" customFormat="1" x14ac:dyDescent="0.25"/>
    <row r="1142" s="82" customFormat="1" x14ac:dyDescent="0.25"/>
    <row r="1143" s="82" customFormat="1" x14ac:dyDescent="0.25"/>
    <row r="1144" s="82" customFormat="1" x14ac:dyDescent="0.25"/>
    <row r="1145" s="82" customFormat="1" x14ac:dyDescent="0.25"/>
    <row r="1146" s="82" customFormat="1" x14ac:dyDescent="0.25"/>
    <row r="1147" s="82" customFormat="1" x14ac:dyDescent="0.25"/>
    <row r="1148" s="82" customFormat="1" x14ac:dyDescent="0.25"/>
    <row r="1149" s="82" customFormat="1" x14ac:dyDescent="0.25"/>
    <row r="1150" s="82" customFormat="1" x14ac:dyDescent="0.25"/>
    <row r="1151" s="82" customFormat="1" x14ac:dyDescent="0.25"/>
    <row r="1152" s="82" customFormat="1" x14ac:dyDescent="0.25"/>
    <row r="1153" s="82" customFormat="1" x14ac:dyDescent="0.25"/>
    <row r="1154" s="82" customFormat="1" x14ac:dyDescent="0.25"/>
    <row r="1155" s="82" customFormat="1" x14ac:dyDescent="0.25"/>
    <row r="1156" s="82" customFormat="1" x14ac:dyDescent="0.25"/>
    <row r="1157" s="82" customFormat="1" x14ac:dyDescent="0.25"/>
    <row r="1158" s="82" customFormat="1" x14ac:dyDescent="0.25"/>
    <row r="1159" s="82" customFormat="1" x14ac:dyDescent="0.25"/>
    <row r="1160" s="82" customFormat="1" x14ac:dyDescent="0.25"/>
    <row r="1161" s="82" customFormat="1" x14ac:dyDescent="0.25"/>
    <row r="1162" s="82" customFormat="1" x14ac:dyDescent="0.25"/>
    <row r="1163" s="82" customFormat="1" x14ac:dyDescent="0.25"/>
    <row r="1164" s="82" customFormat="1" x14ac:dyDescent="0.25"/>
    <row r="1165" s="82" customFormat="1" x14ac:dyDescent="0.25"/>
    <row r="1166" s="82" customFormat="1" x14ac:dyDescent="0.25"/>
    <row r="1167" s="82" customFormat="1" x14ac:dyDescent="0.25"/>
    <row r="1168" s="82" customFormat="1" x14ac:dyDescent="0.25"/>
    <row r="1169" s="82" customFormat="1" x14ac:dyDescent="0.25"/>
    <row r="1170" s="82" customFormat="1" x14ac:dyDescent="0.25"/>
    <row r="1171" s="82" customFormat="1" x14ac:dyDescent="0.25"/>
    <row r="1172" s="82" customFormat="1" x14ac:dyDescent="0.25"/>
    <row r="1173" s="82" customFormat="1" x14ac:dyDescent="0.25"/>
    <row r="1174" s="82" customFormat="1" x14ac:dyDescent="0.25"/>
    <row r="1175" s="82" customFormat="1" x14ac:dyDescent="0.25"/>
    <row r="1176" s="82" customFormat="1" x14ac:dyDescent="0.25"/>
    <row r="1177" s="82" customFormat="1" x14ac:dyDescent="0.25"/>
    <row r="1178" s="82" customFormat="1" x14ac:dyDescent="0.25"/>
    <row r="1179" s="82" customFormat="1" x14ac:dyDescent="0.25"/>
    <row r="1180" s="82" customFormat="1" x14ac:dyDescent="0.25"/>
    <row r="1181" s="82" customFormat="1" x14ac:dyDescent="0.25"/>
    <row r="1182" s="82" customFormat="1" x14ac:dyDescent="0.25"/>
    <row r="1183" s="82" customFormat="1" x14ac:dyDescent="0.25"/>
    <row r="1184" s="82" customFormat="1" x14ac:dyDescent="0.25"/>
    <row r="1185" s="82" customFormat="1" x14ac:dyDescent="0.25"/>
    <row r="1186" s="82" customFormat="1" x14ac:dyDescent="0.25"/>
    <row r="1187" s="82" customFormat="1" x14ac:dyDescent="0.25"/>
    <row r="1188" s="82" customFormat="1" x14ac:dyDescent="0.25"/>
    <row r="1189" s="82" customFormat="1" x14ac:dyDescent="0.25"/>
    <row r="1190" s="82" customFormat="1" x14ac:dyDescent="0.25"/>
    <row r="1191" s="82" customFormat="1" x14ac:dyDescent="0.25"/>
    <row r="1192" s="82" customFormat="1" x14ac:dyDescent="0.25"/>
    <row r="1193" s="82" customFormat="1" x14ac:dyDescent="0.25"/>
    <row r="1194" s="82" customFormat="1" x14ac:dyDescent="0.25"/>
    <row r="1195" s="82" customFormat="1" x14ac:dyDescent="0.25"/>
    <row r="1196" s="82" customFormat="1" x14ac:dyDescent="0.25"/>
    <row r="1197" s="82" customFormat="1" x14ac:dyDescent="0.25"/>
    <row r="1198" s="82" customFormat="1" x14ac:dyDescent="0.25"/>
    <row r="1199" s="82" customFormat="1" x14ac:dyDescent="0.25"/>
    <row r="1200" s="82" customFormat="1" x14ac:dyDescent="0.25"/>
    <row r="1201" s="82" customFormat="1" x14ac:dyDescent="0.25"/>
    <row r="1202" s="82" customFormat="1" x14ac:dyDescent="0.25"/>
    <row r="1203" s="82" customFormat="1" x14ac:dyDescent="0.25"/>
    <row r="1204" s="82" customFormat="1" x14ac:dyDescent="0.25"/>
    <row r="1205" s="82" customFormat="1" x14ac:dyDescent="0.25"/>
    <row r="1206" s="82" customFormat="1" x14ac:dyDescent="0.25"/>
    <row r="1207" s="82" customFormat="1" x14ac:dyDescent="0.25"/>
    <row r="1208" s="82" customFormat="1" x14ac:dyDescent="0.25"/>
    <row r="1209" s="82" customFormat="1" x14ac:dyDescent="0.25"/>
    <row r="1210" s="82" customFormat="1" x14ac:dyDescent="0.25"/>
    <row r="1211" s="82" customFormat="1" x14ac:dyDescent="0.25"/>
    <row r="1212" s="82" customFormat="1" x14ac:dyDescent="0.25"/>
    <row r="1213" s="82" customFormat="1" x14ac:dyDescent="0.25"/>
    <row r="1214" s="82" customFormat="1" x14ac:dyDescent="0.25"/>
    <row r="1215" s="82" customFormat="1" x14ac:dyDescent="0.25"/>
    <row r="1216" s="82" customFormat="1" x14ac:dyDescent="0.25"/>
    <row r="1217" s="82" customFormat="1" x14ac:dyDescent="0.25"/>
    <row r="1218" s="82" customFormat="1" x14ac:dyDescent="0.25"/>
    <row r="1219" s="82" customFormat="1" x14ac:dyDescent="0.25"/>
    <row r="1220" s="82" customFormat="1" x14ac:dyDescent="0.25"/>
    <row r="1221" s="82" customFormat="1" x14ac:dyDescent="0.25"/>
    <row r="1222" s="82" customFormat="1" x14ac:dyDescent="0.25"/>
    <row r="1223" s="82" customFormat="1" x14ac:dyDescent="0.25"/>
    <row r="1224" s="82" customFormat="1" x14ac:dyDescent="0.25"/>
    <row r="1225" s="82" customFormat="1" x14ac:dyDescent="0.25"/>
    <row r="1226" s="82" customFormat="1" x14ac:dyDescent="0.25"/>
    <row r="1227" s="82" customFormat="1" x14ac:dyDescent="0.25"/>
    <row r="1228" s="82" customFormat="1" x14ac:dyDescent="0.25"/>
    <row r="1229" s="82" customFormat="1" x14ac:dyDescent="0.25"/>
    <row r="1230" s="82" customFormat="1" x14ac:dyDescent="0.25"/>
    <row r="1231" s="82" customFormat="1" x14ac:dyDescent="0.25"/>
    <row r="1232" s="82" customFormat="1" x14ac:dyDescent="0.25"/>
    <row r="1233" s="82" customFormat="1" x14ac:dyDescent="0.25"/>
    <row r="1234" s="82" customFormat="1" x14ac:dyDescent="0.25"/>
    <row r="1235" s="82" customFormat="1" x14ac:dyDescent="0.25"/>
    <row r="1236" s="82" customFormat="1" x14ac:dyDescent="0.25"/>
    <row r="1237" s="82" customFormat="1" x14ac:dyDescent="0.25"/>
    <row r="1238" s="82" customFormat="1" x14ac:dyDescent="0.25"/>
    <row r="1239" s="82" customFormat="1" x14ac:dyDescent="0.25"/>
    <row r="1240" s="82" customFormat="1" x14ac:dyDescent="0.25"/>
    <row r="1241" s="82" customFormat="1" x14ac:dyDescent="0.25"/>
    <row r="1242" s="82" customFormat="1" x14ac:dyDescent="0.25"/>
    <row r="1243" s="82" customFormat="1" x14ac:dyDescent="0.25"/>
    <row r="1244" s="82" customFormat="1" x14ac:dyDescent="0.25"/>
    <row r="1245" s="82" customFormat="1" x14ac:dyDescent="0.25"/>
    <row r="1246" s="82" customFormat="1" x14ac:dyDescent="0.25"/>
    <row r="1247" s="82" customFormat="1" x14ac:dyDescent="0.25"/>
    <row r="1248" s="82" customFormat="1" x14ac:dyDescent="0.25"/>
    <row r="1249" s="82" customFormat="1" x14ac:dyDescent="0.25"/>
    <row r="1250" s="82" customFormat="1" x14ac:dyDescent="0.25"/>
    <row r="1251" s="82" customFormat="1" x14ac:dyDescent="0.25"/>
    <row r="1252" s="82" customFormat="1" x14ac:dyDescent="0.25"/>
    <row r="1253" s="82" customFormat="1" x14ac:dyDescent="0.25"/>
    <row r="1254" s="82" customFormat="1" x14ac:dyDescent="0.25"/>
    <row r="1255" s="82" customFormat="1" x14ac:dyDescent="0.25"/>
    <row r="1256" s="82" customFormat="1" x14ac:dyDescent="0.25"/>
    <row r="1257" s="82" customFormat="1" x14ac:dyDescent="0.25"/>
    <row r="1258" s="82" customFormat="1" x14ac:dyDescent="0.25"/>
    <row r="1259" s="82" customFormat="1" x14ac:dyDescent="0.25"/>
    <row r="1260" s="82" customFormat="1" x14ac:dyDescent="0.25"/>
    <row r="1261" s="82" customFormat="1" x14ac:dyDescent="0.25"/>
    <row r="1262" s="82" customFormat="1" x14ac:dyDescent="0.25"/>
    <row r="1263" s="82" customFormat="1" x14ac:dyDescent="0.25"/>
    <row r="1264" s="82" customFormat="1" x14ac:dyDescent="0.25"/>
    <row r="1265" s="82" customFormat="1" x14ac:dyDescent="0.25"/>
    <row r="1266" s="82" customFormat="1" x14ac:dyDescent="0.25"/>
    <row r="1267" s="82" customFormat="1" x14ac:dyDescent="0.25"/>
    <row r="1268" s="82" customFormat="1" x14ac:dyDescent="0.25"/>
    <row r="1269" s="82" customFormat="1" x14ac:dyDescent="0.25"/>
    <row r="1270" s="82" customFormat="1" x14ac:dyDescent="0.25"/>
    <row r="1271" s="82" customFormat="1" x14ac:dyDescent="0.25"/>
    <row r="1272" s="82" customFormat="1" x14ac:dyDescent="0.25"/>
    <row r="1273" s="82" customFormat="1" x14ac:dyDescent="0.25"/>
    <row r="1274" s="82" customFormat="1" x14ac:dyDescent="0.25"/>
    <row r="1275" s="82" customFormat="1" x14ac:dyDescent="0.25"/>
    <row r="1276" s="82" customFormat="1" x14ac:dyDescent="0.25"/>
    <row r="1277" s="82" customFormat="1" x14ac:dyDescent="0.25"/>
    <row r="1278" s="82" customFormat="1" x14ac:dyDescent="0.25"/>
    <row r="1279" s="82" customFormat="1" x14ac:dyDescent="0.25"/>
    <row r="1280" s="82" customFormat="1" x14ac:dyDescent="0.25"/>
    <row r="1281" s="82" customFormat="1" x14ac:dyDescent="0.25"/>
    <row r="1282" s="82" customFormat="1" x14ac:dyDescent="0.25"/>
    <row r="1283" s="82" customFormat="1" x14ac:dyDescent="0.25"/>
    <row r="1284" s="82" customFormat="1" x14ac:dyDescent="0.25"/>
    <row r="1285" s="82" customFormat="1" x14ac:dyDescent="0.25"/>
    <row r="1286" s="82" customFormat="1" x14ac:dyDescent="0.25"/>
    <row r="1287" s="82" customFormat="1" x14ac:dyDescent="0.25"/>
    <row r="1288" s="82" customFormat="1" x14ac:dyDescent="0.25"/>
    <row r="1289" s="82" customFormat="1" x14ac:dyDescent="0.25"/>
    <row r="1290" s="82" customFormat="1" x14ac:dyDescent="0.25"/>
    <row r="1291" s="82" customFormat="1" x14ac:dyDescent="0.25"/>
    <row r="1292" s="82" customFormat="1" x14ac:dyDescent="0.25"/>
    <row r="1293" s="82" customFormat="1" x14ac:dyDescent="0.25"/>
    <row r="1294" s="82" customFormat="1" x14ac:dyDescent="0.25"/>
    <row r="1295" s="82" customFormat="1" x14ac:dyDescent="0.25"/>
    <row r="1296" s="82" customFormat="1" x14ac:dyDescent="0.25"/>
    <row r="1297" s="82" customFormat="1" x14ac:dyDescent="0.25"/>
    <row r="1298" s="82" customFormat="1" x14ac:dyDescent="0.25"/>
    <row r="1299" s="82" customFormat="1" x14ac:dyDescent="0.25"/>
    <row r="1300" s="82" customFormat="1" x14ac:dyDescent="0.25"/>
    <row r="1301" s="82" customFormat="1" x14ac:dyDescent="0.25"/>
    <row r="1302" s="82" customFormat="1" x14ac:dyDescent="0.25"/>
    <row r="1303" s="82" customFormat="1" x14ac:dyDescent="0.25"/>
    <row r="1304" s="82" customFormat="1" x14ac:dyDescent="0.25"/>
    <row r="1305" s="82" customFormat="1" x14ac:dyDescent="0.25"/>
    <row r="1306" s="82" customFormat="1" x14ac:dyDescent="0.25"/>
    <row r="1307" s="82" customFormat="1" x14ac:dyDescent="0.25"/>
    <row r="1308" s="82" customFormat="1" x14ac:dyDescent="0.25"/>
    <row r="1309" s="82" customFormat="1" x14ac:dyDescent="0.25"/>
    <row r="1310" s="82" customFormat="1" x14ac:dyDescent="0.25"/>
    <row r="1311" s="82" customFormat="1" x14ac:dyDescent="0.25"/>
    <row r="1312" s="82" customFormat="1" x14ac:dyDescent="0.25"/>
    <row r="1313" s="82" customFormat="1" x14ac:dyDescent="0.25"/>
    <row r="1314" s="82" customFormat="1" x14ac:dyDescent="0.25"/>
    <row r="1315" s="82" customFormat="1" x14ac:dyDescent="0.25"/>
    <row r="1316" s="82" customFormat="1" x14ac:dyDescent="0.25"/>
    <row r="1317" s="82" customFormat="1" x14ac:dyDescent="0.25"/>
    <row r="1318" s="82" customFormat="1" x14ac:dyDescent="0.25"/>
    <row r="1319" s="82" customFormat="1" x14ac:dyDescent="0.25"/>
    <row r="1320" s="82" customFormat="1" x14ac:dyDescent="0.25"/>
    <row r="1321" s="82" customFormat="1" x14ac:dyDescent="0.25"/>
    <row r="1322" s="82" customFormat="1" x14ac:dyDescent="0.25"/>
    <row r="1323" s="82" customFormat="1" x14ac:dyDescent="0.25"/>
    <row r="1324" s="82" customFormat="1" x14ac:dyDescent="0.25"/>
    <row r="1325" s="82" customFormat="1" x14ac:dyDescent="0.25"/>
    <row r="1326" s="82" customFormat="1" x14ac:dyDescent="0.25"/>
    <row r="1327" s="82" customFormat="1" x14ac:dyDescent="0.25"/>
    <row r="1328" s="82" customFormat="1" x14ac:dyDescent="0.25"/>
    <row r="1329" s="82" customFormat="1" x14ac:dyDescent="0.25"/>
    <row r="1330" s="82" customFormat="1" x14ac:dyDescent="0.25"/>
    <row r="1331" s="82" customFormat="1" x14ac:dyDescent="0.25"/>
    <row r="1332" s="82" customFormat="1" x14ac:dyDescent="0.25"/>
    <row r="1333" s="82" customFormat="1" x14ac:dyDescent="0.25"/>
    <row r="1334" s="82" customFormat="1" x14ac:dyDescent="0.25"/>
    <row r="1335" s="82" customFormat="1" x14ac:dyDescent="0.25"/>
    <row r="1336" s="82" customFormat="1" x14ac:dyDescent="0.25"/>
    <row r="1337" s="82" customFormat="1" x14ac:dyDescent="0.25"/>
    <row r="1338" s="82" customFormat="1" x14ac:dyDescent="0.25"/>
    <row r="1339" s="82" customFormat="1" x14ac:dyDescent="0.25"/>
    <row r="1340" s="82" customFormat="1" x14ac:dyDescent="0.25"/>
    <row r="1341" s="82" customFormat="1" x14ac:dyDescent="0.25"/>
    <row r="1342" s="82" customFormat="1" x14ac:dyDescent="0.25"/>
    <row r="1343" s="82" customFormat="1" x14ac:dyDescent="0.25"/>
    <row r="1344" s="82" customFormat="1" x14ac:dyDescent="0.25"/>
    <row r="1345" s="82" customFormat="1" x14ac:dyDescent="0.25"/>
    <row r="1346" s="82" customFormat="1" x14ac:dyDescent="0.25"/>
    <row r="1347" s="82" customFormat="1" x14ac:dyDescent="0.25"/>
    <row r="1348" s="82" customFormat="1" x14ac:dyDescent="0.25"/>
    <row r="1349" s="82" customFormat="1" x14ac:dyDescent="0.25"/>
    <row r="1350" s="82" customFormat="1" x14ac:dyDescent="0.25"/>
    <row r="1351" s="82" customFormat="1" x14ac:dyDescent="0.25"/>
    <row r="1352" s="82" customFormat="1" x14ac:dyDescent="0.25"/>
    <row r="1353" s="82" customFormat="1" x14ac:dyDescent="0.25"/>
    <row r="1354" s="82" customFormat="1" x14ac:dyDescent="0.25"/>
    <row r="1355" s="82" customFormat="1" x14ac:dyDescent="0.25"/>
    <row r="1356" s="82" customFormat="1" x14ac:dyDescent="0.25"/>
    <row r="1357" s="82" customFormat="1" x14ac:dyDescent="0.25"/>
    <row r="1358" s="82" customFormat="1" x14ac:dyDescent="0.25"/>
    <row r="1359" s="82" customFormat="1" x14ac:dyDescent="0.25"/>
    <row r="1360" s="82" customFormat="1" x14ac:dyDescent="0.25"/>
    <row r="1361" s="82" customFormat="1" x14ac:dyDescent="0.25"/>
    <row r="1362" s="82" customFormat="1" x14ac:dyDescent="0.25"/>
    <row r="1363" s="82" customFormat="1" x14ac:dyDescent="0.25"/>
    <row r="1364" s="82" customFormat="1" x14ac:dyDescent="0.25"/>
    <row r="1365" s="82" customFormat="1" x14ac:dyDescent="0.25"/>
    <row r="1366" s="82" customFormat="1" x14ac:dyDescent="0.25"/>
    <row r="1367" s="82" customFormat="1" x14ac:dyDescent="0.25"/>
    <row r="1368" s="82" customFormat="1" x14ac:dyDescent="0.25"/>
    <row r="1369" s="82" customFormat="1" x14ac:dyDescent="0.25"/>
    <row r="1370" s="82" customFormat="1" x14ac:dyDescent="0.25"/>
    <row r="1371" s="82" customFormat="1" x14ac:dyDescent="0.25"/>
    <row r="1372" s="82" customFormat="1" x14ac:dyDescent="0.25"/>
    <row r="1373" s="82" customFormat="1" x14ac:dyDescent="0.25"/>
    <row r="1374" s="82" customFormat="1" x14ac:dyDescent="0.25"/>
    <row r="1375" s="82" customFormat="1" x14ac:dyDescent="0.25"/>
    <row r="1376" s="82" customFormat="1" x14ac:dyDescent="0.25"/>
    <row r="1377" s="82" customFormat="1" x14ac:dyDescent="0.25"/>
    <row r="1378" s="82" customFormat="1" x14ac:dyDescent="0.25"/>
    <row r="1379" s="82" customFormat="1" x14ac:dyDescent="0.25"/>
    <row r="1380" s="82" customFormat="1" x14ac:dyDescent="0.25"/>
    <row r="1381" s="82" customFormat="1" x14ac:dyDescent="0.25"/>
    <row r="1382" s="82" customFormat="1" x14ac:dyDescent="0.25"/>
    <row r="1383" s="82" customFormat="1" x14ac:dyDescent="0.25"/>
    <row r="1384" s="82" customFormat="1" x14ac:dyDescent="0.25"/>
    <row r="1385" s="82" customFormat="1" x14ac:dyDescent="0.25"/>
    <row r="1386" s="82" customFormat="1" x14ac:dyDescent="0.25"/>
    <row r="1387" s="82" customFormat="1" x14ac:dyDescent="0.25"/>
    <row r="1388" s="82" customFormat="1" x14ac:dyDescent="0.25"/>
    <row r="1389" s="82" customFormat="1" x14ac:dyDescent="0.25"/>
    <row r="1390" s="82" customFormat="1" x14ac:dyDescent="0.25"/>
    <row r="1391" s="82" customFormat="1" x14ac:dyDescent="0.25"/>
    <row r="1392" s="82" customFormat="1" x14ac:dyDescent="0.25"/>
    <row r="1393" s="82" customFormat="1" x14ac:dyDescent="0.25"/>
    <row r="1394" s="82" customFormat="1" x14ac:dyDescent="0.25"/>
    <row r="1395" s="82" customFormat="1" x14ac:dyDescent="0.25"/>
    <row r="1396" s="82" customFormat="1" x14ac:dyDescent="0.25"/>
    <row r="1397" s="82" customFormat="1" x14ac:dyDescent="0.25"/>
    <row r="1398" s="82" customFormat="1" x14ac:dyDescent="0.25"/>
    <row r="1399" s="82" customFormat="1" x14ac:dyDescent="0.25"/>
    <row r="1400" s="82" customFormat="1" x14ac:dyDescent="0.25"/>
    <row r="1401" s="82" customFormat="1" x14ac:dyDescent="0.25"/>
    <row r="1402" s="82" customFormat="1" x14ac:dyDescent="0.25"/>
    <row r="1403" s="82" customFormat="1" x14ac:dyDescent="0.25"/>
    <row r="1404" s="82" customFormat="1" x14ac:dyDescent="0.25"/>
    <row r="1405" s="82" customFormat="1" x14ac:dyDescent="0.25"/>
    <row r="1406" s="82" customFormat="1" x14ac:dyDescent="0.25"/>
    <row r="1407" s="82" customFormat="1" x14ac:dyDescent="0.25"/>
    <row r="1408" s="82" customFormat="1" x14ac:dyDescent="0.25"/>
    <row r="1409" s="82" customFormat="1" x14ac:dyDescent="0.25"/>
    <row r="1410" s="82" customFormat="1" x14ac:dyDescent="0.25"/>
    <row r="1411" s="82" customFormat="1" x14ac:dyDescent="0.25"/>
    <row r="1412" s="82" customFormat="1" x14ac:dyDescent="0.25"/>
    <row r="1413" s="82" customFormat="1" x14ac:dyDescent="0.25"/>
    <row r="1414" s="82" customFormat="1" x14ac:dyDescent="0.25"/>
    <row r="1415" s="82" customFormat="1" x14ac:dyDescent="0.25"/>
    <row r="1416" s="82" customFormat="1" x14ac:dyDescent="0.25"/>
    <row r="1417" s="82" customFormat="1" x14ac:dyDescent="0.25"/>
    <row r="1418" s="82" customFormat="1" x14ac:dyDescent="0.25"/>
    <row r="1419" s="82" customFormat="1" x14ac:dyDescent="0.25"/>
    <row r="1420" s="82" customFormat="1" x14ac:dyDescent="0.25"/>
    <row r="1421" s="82" customFormat="1" x14ac:dyDescent="0.25"/>
    <row r="1422" s="82" customFormat="1" x14ac:dyDescent="0.25"/>
    <row r="1423" s="82" customFormat="1" x14ac:dyDescent="0.25"/>
    <row r="1424" s="82" customFormat="1" x14ac:dyDescent="0.25"/>
    <row r="1425" s="82" customFormat="1" x14ac:dyDescent="0.25"/>
    <row r="1426" s="82" customFormat="1" x14ac:dyDescent="0.25"/>
    <row r="1427" s="82" customFormat="1" x14ac:dyDescent="0.25"/>
    <row r="1428" s="82" customFormat="1" x14ac:dyDescent="0.25"/>
    <row r="1429" s="82" customFormat="1" x14ac:dyDescent="0.25"/>
    <row r="1430" s="82" customFormat="1" x14ac:dyDescent="0.25"/>
    <row r="1431" s="82" customFormat="1" x14ac:dyDescent="0.25"/>
    <row r="1432" s="82" customFormat="1" x14ac:dyDescent="0.25"/>
    <row r="1433" s="82" customFormat="1" x14ac:dyDescent="0.25"/>
    <row r="1434" s="82" customFormat="1" x14ac:dyDescent="0.25"/>
    <row r="1435" s="82" customFormat="1" x14ac:dyDescent="0.25"/>
    <row r="1436" s="82" customFormat="1" x14ac:dyDescent="0.25"/>
    <row r="1437" s="82" customFormat="1" x14ac:dyDescent="0.25"/>
    <row r="1438" s="82" customFormat="1" x14ac:dyDescent="0.25"/>
    <row r="1439" s="82" customFormat="1" x14ac:dyDescent="0.25"/>
    <row r="1440" s="82" customFormat="1" x14ac:dyDescent="0.25"/>
    <row r="1441" s="82" customFormat="1" x14ac:dyDescent="0.25"/>
    <row r="1442" s="82" customFormat="1" x14ac:dyDescent="0.25"/>
    <row r="1443" s="82" customFormat="1" x14ac:dyDescent="0.25"/>
    <row r="1444" s="82" customFormat="1" x14ac:dyDescent="0.25"/>
    <row r="1445" s="82" customFormat="1" x14ac:dyDescent="0.25"/>
    <row r="1446" s="82" customFormat="1" x14ac:dyDescent="0.25"/>
    <row r="1447" s="82" customFormat="1" x14ac:dyDescent="0.25"/>
    <row r="1448" s="82" customFormat="1" x14ac:dyDescent="0.25"/>
    <row r="1449" s="82" customFormat="1" x14ac:dyDescent="0.25"/>
    <row r="1450" s="82" customFormat="1" x14ac:dyDescent="0.25"/>
    <row r="1451" s="82" customFormat="1" x14ac:dyDescent="0.25"/>
    <row r="1452" s="82" customFormat="1" x14ac:dyDescent="0.25"/>
    <row r="1453" s="82" customFormat="1" x14ac:dyDescent="0.25"/>
    <row r="1454" s="82" customFormat="1" x14ac:dyDescent="0.25"/>
    <row r="1455" s="82" customFormat="1" x14ac:dyDescent="0.25"/>
    <row r="1456" s="82" customFormat="1" x14ac:dyDescent="0.25"/>
    <row r="1457" s="82" customFormat="1" x14ac:dyDescent="0.25"/>
    <row r="1458" s="82" customFormat="1" x14ac:dyDescent="0.25"/>
    <row r="1459" s="82" customFormat="1" x14ac:dyDescent="0.25"/>
    <row r="1460" s="82" customFormat="1" x14ac:dyDescent="0.25"/>
    <row r="1461" s="82" customFormat="1" x14ac:dyDescent="0.25"/>
    <row r="1462" s="82" customFormat="1" x14ac:dyDescent="0.25"/>
    <row r="1463" s="82" customFormat="1" x14ac:dyDescent="0.25"/>
    <row r="1464" s="82" customFormat="1" x14ac:dyDescent="0.25"/>
    <row r="1465" s="82" customFormat="1" x14ac:dyDescent="0.25"/>
    <row r="1466" s="82" customFormat="1" x14ac:dyDescent="0.25"/>
    <row r="1467" s="82" customFormat="1" x14ac:dyDescent="0.25"/>
    <row r="1468" s="82" customFormat="1" x14ac:dyDescent="0.25"/>
    <row r="1469" s="82" customFormat="1" x14ac:dyDescent="0.25"/>
    <row r="1470" s="82" customFormat="1" x14ac:dyDescent="0.25"/>
    <row r="1471" s="82" customFormat="1" x14ac:dyDescent="0.25"/>
    <row r="1472" s="82" customFormat="1" x14ac:dyDescent="0.25"/>
    <row r="1473" s="82" customFormat="1" x14ac:dyDescent="0.25"/>
    <row r="1474" s="82" customFormat="1" x14ac:dyDescent="0.25"/>
    <row r="1475" s="82" customFormat="1" x14ac:dyDescent="0.25"/>
    <row r="1476" s="82" customFormat="1" x14ac:dyDescent="0.25"/>
    <row r="1477" s="82" customFormat="1" x14ac:dyDescent="0.25"/>
    <row r="1478" s="82" customFormat="1" x14ac:dyDescent="0.25"/>
    <row r="1479" s="82" customFormat="1" x14ac:dyDescent="0.25"/>
    <row r="1480" s="82" customFormat="1" x14ac:dyDescent="0.25"/>
    <row r="1481" s="82" customFormat="1" x14ac:dyDescent="0.25"/>
    <row r="1482" s="82" customFormat="1" x14ac:dyDescent="0.25"/>
    <row r="1483" s="82" customFormat="1" x14ac:dyDescent="0.25"/>
    <row r="1484" s="82" customFormat="1" x14ac:dyDescent="0.25"/>
    <row r="1485" s="82" customFormat="1" x14ac:dyDescent="0.25"/>
    <row r="1486" s="82" customFormat="1" x14ac:dyDescent="0.25"/>
    <row r="1487" s="82" customFormat="1" x14ac:dyDescent="0.25"/>
    <row r="1488" s="82" customFormat="1" x14ac:dyDescent="0.25"/>
    <row r="1489" s="82" customFormat="1" x14ac:dyDescent="0.25"/>
    <row r="1490" s="82" customFormat="1" x14ac:dyDescent="0.25"/>
    <row r="1491" s="82" customFormat="1" x14ac:dyDescent="0.25"/>
    <row r="1492" s="82" customFormat="1" x14ac:dyDescent="0.25"/>
    <row r="1493" s="82" customFormat="1" x14ac:dyDescent="0.25"/>
    <row r="1494" s="82" customFormat="1" x14ac:dyDescent="0.25"/>
    <row r="1495" s="82" customFormat="1" x14ac:dyDescent="0.25"/>
    <row r="1496" s="82" customFormat="1" x14ac:dyDescent="0.25"/>
    <row r="1497" s="82" customFormat="1" x14ac:dyDescent="0.25"/>
    <row r="1498" s="82" customFormat="1" x14ac:dyDescent="0.25"/>
    <row r="1499" s="82" customFormat="1" x14ac:dyDescent="0.25"/>
    <row r="1500" s="82" customFormat="1" x14ac:dyDescent="0.25"/>
    <row r="1501" s="82" customFormat="1" x14ac:dyDescent="0.25"/>
    <row r="1502" s="82" customFormat="1" x14ac:dyDescent="0.25"/>
    <row r="1503" s="82" customFormat="1" x14ac:dyDescent="0.25"/>
    <row r="1504" s="82" customFormat="1" x14ac:dyDescent="0.25"/>
    <row r="1505" s="82" customFormat="1" x14ac:dyDescent="0.25"/>
    <row r="1506" s="82" customFormat="1" x14ac:dyDescent="0.25"/>
    <row r="1507" s="82" customFormat="1" x14ac:dyDescent="0.25"/>
    <row r="1508" s="82" customFormat="1" x14ac:dyDescent="0.25"/>
    <row r="1509" s="82" customFormat="1" x14ac:dyDescent="0.25"/>
    <row r="1510" s="82" customFormat="1" x14ac:dyDescent="0.25"/>
    <row r="1511" s="82" customFormat="1" x14ac:dyDescent="0.25"/>
    <row r="1512" s="82" customFormat="1" x14ac:dyDescent="0.25"/>
    <row r="1513" s="82" customFormat="1" x14ac:dyDescent="0.25"/>
    <row r="1514" s="82" customFormat="1" x14ac:dyDescent="0.25"/>
    <row r="1515" s="82" customFormat="1" x14ac:dyDescent="0.25"/>
    <row r="1516" s="82" customFormat="1" x14ac:dyDescent="0.25"/>
    <row r="1517" s="82" customFormat="1" x14ac:dyDescent="0.25"/>
    <row r="1518" s="82" customFormat="1" x14ac:dyDescent="0.25"/>
    <row r="1519" s="82" customFormat="1" x14ac:dyDescent="0.25"/>
    <row r="1520" s="82" customFormat="1" x14ac:dyDescent="0.25"/>
    <row r="1521" s="82" customFormat="1" x14ac:dyDescent="0.25"/>
    <row r="1522" s="82" customFormat="1" x14ac:dyDescent="0.25"/>
    <row r="1523" s="82" customFormat="1" x14ac:dyDescent="0.25"/>
    <row r="1524" s="82" customFormat="1" x14ac:dyDescent="0.25"/>
    <row r="1525" s="82" customFormat="1" x14ac:dyDescent="0.25"/>
    <row r="1526" s="82" customFormat="1" x14ac:dyDescent="0.25"/>
    <row r="1527" s="82" customFormat="1" x14ac:dyDescent="0.25"/>
    <row r="1528" s="82" customFormat="1" x14ac:dyDescent="0.25"/>
    <row r="1529" s="82" customFormat="1" x14ac:dyDescent="0.25"/>
    <row r="1530" s="82" customFormat="1" x14ac:dyDescent="0.25"/>
    <row r="1531" s="82" customFormat="1" x14ac:dyDescent="0.25"/>
    <row r="1532" s="82" customFormat="1" x14ac:dyDescent="0.25"/>
    <row r="1533" s="82" customFormat="1" x14ac:dyDescent="0.25"/>
    <row r="1534" s="82" customFormat="1" x14ac:dyDescent="0.25"/>
    <row r="1535" s="82" customFormat="1" x14ac:dyDescent="0.25"/>
    <row r="1536" s="82" customFormat="1" x14ac:dyDescent="0.25"/>
    <row r="1537" s="82" customFormat="1" x14ac:dyDescent="0.25"/>
    <row r="1538" s="82" customFormat="1" x14ac:dyDescent="0.25"/>
    <row r="1539" s="82" customFormat="1" x14ac:dyDescent="0.25"/>
    <row r="1540" s="82" customFormat="1" x14ac:dyDescent="0.25"/>
    <row r="1541" s="82" customFormat="1" x14ac:dyDescent="0.25"/>
    <row r="1542" s="82" customFormat="1" x14ac:dyDescent="0.25"/>
    <row r="1543" s="82" customFormat="1" x14ac:dyDescent="0.25"/>
    <row r="1544" s="82" customFormat="1" x14ac:dyDescent="0.25"/>
    <row r="1545" s="82" customFormat="1" x14ac:dyDescent="0.25"/>
    <row r="1546" s="82" customFormat="1" x14ac:dyDescent="0.25"/>
    <row r="1547" s="82" customFormat="1" x14ac:dyDescent="0.25"/>
    <row r="1548" s="82" customFormat="1" x14ac:dyDescent="0.25"/>
    <row r="1549" s="82" customFormat="1" x14ac:dyDescent="0.25"/>
    <row r="1550" s="82" customFormat="1" x14ac:dyDescent="0.25"/>
    <row r="1551" s="82" customFormat="1" x14ac:dyDescent="0.25"/>
    <row r="1552" s="82" customFormat="1" x14ac:dyDescent="0.25"/>
    <row r="1553" s="82" customFormat="1" x14ac:dyDescent="0.25"/>
    <row r="1554" s="82" customFormat="1" x14ac:dyDescent="0.25"/>
    <row r="1555" s="82" customFormat="1" x14ac:dyDescent="0.25"/>
    <row r="1556" s="82" customFormat="1" x14ac:dyDescent="0.25"/>
    <row r="1557" s="82" customFormat="1" x14ac:dyDescent="0.25"/>
    <row r="1558" s="82" customFormat="1" x14ac:dyDescent="0.25"/>
    <row r="1559" s="82" customFormat="1" x14ac:dyDescent="0.25"/>
    <row r="1560" s="82" customFormat="1" x14ac:dyDescent="0.25"/>
    <row r="1561" s="82" customFormat="1" x14ac:dyDescent="0.25"/>
    <row r="1562" s="82" customFormat="1" x14ac:dyDescent="0.25"/>
    <row r="1563" s="82" customFormat="1" x14ac:dyDescent="0.25"/>
    <row r="1564" s="82" customFormat="1" x14ac:dyDescent="0.25"/>
    <row r="1565" s="82" customFormat="1" x14ac:dyDescent="0.25"/>
    <row r="1566" s="82" customFormat="1" x14ac:dyDescent="0.25"/>
    <row r="1567" s="82" customFormat="1" x14ac:dyDescent="0.25"/>
    <row r="1568" s="82" customFormat="1" x14ac:dyDescent="0.25"/>
    <row r="1569" s="82" customFormat="1" x14ac:dyDescent="0.25"/>
    <row r="1570" s="82" customFormat="1" x14ac:dyDescent="0.25"/>
    <row r="1571" s="82" customFormat="1" x14ac:dyDescent="0.25"/>
    <row r="1572" s="82" customFormat="1" x14ac:dyDescent="0.25"/>
    <row r="1573" s="82" customFormat="1" x14ac:dyDescent="0.25"/>
    <row r="1574" s="82" customFormat="1" x14ac:dyDescent="0.25"/>
    <row r="1575" s="82" customFormat="1" x14ac:dyDescent="0.25"/>
    <row r="1576" s="82" customFormat="1" x14ac:dyDescent="0.25"/>
    <row r="1577" s="82" customFormat="1" x14ac:dyDescent="0.25"/>
    <row r="1578" s="82" customFormat="1" x14ac:dyDescent="0.25"/>
    <row r="1579" s="82" customFormat="1" x14ac:dyDescent="0.25"/>
    <row r="1580" s="82" customFormat="1" x14ac:dyDescent="0.25"/>
    <row r="1581" s="82" customFormat="1" x14ac:dyDescent="0.25"/>
    <row r="1582" s="82" customFormat="1" x14ac:dyDescent="0.25"/>
    <row r="1583" s="82" customFormat="1" x14ac:dyDescent="0.25"/>
    <row r="1584" s="82" customFormat="1" x14ac:dyDescent="0.25"/>
    <row r="1585" s="82" customFormat="1" x14ac:dyDescent="0.25"/>
    <row r="1586" s="82" customFormat="1" x14ac:dyDescent="0.25"/>
    <row r="1587" s="82" customFormat="1" x14ac:dyDescent="0.25"/>
    <row r="1588" s="82" customFormat="1" x14ac:dyDescent="0.25"/>
    <row r="1589" s="82" customFormat="1" x14ac:dyDescent="0.25"/>
    <row r="1590" s="82" customFormat="1" x14ac:dyDescent="0.25"/>
    <row r="1591" s="82" customFormat="1" x14ac:dyDescent="0.25"/>
    <row r="1592" s="82" customFormat="1" x14ac:dyDescent="0.25"/>
    <row r="1593" s="82" customFormat="1" x14ac:dyDescent="0.25"/>
    <row r="1594" s="82" customFormat="1" x14ac:dyDescent="0.25"/>
    <row r="1595" s="82" customFormat="1" x14ac:dyDescent="0.25"/>
    <row r="1596" s="82" customFormat="1" x14ac:dyDescent="0.25"/>
    <row r="1597" s="82" customFormat="1" x14ac:dyDescent="0.25"/>
    <row r="1598" s="82" customFormat="1" x14ac:dyDescent="0.25"/>
    <row r="1599" s="82" customFormat="1" x14ac:dyDescent="0.25"/>
    <row r="1600" s="82" customFormat="1" x14ac:dyDescent="0.25"/>
    <row r="1601" s="82" customFormat="1" x14ac:dyDescent="0.25"/>
    <row r="1602" s="82" customFormat="1" x14ac:dyDescent="0.25"/>
    <row r="1603" s="82" customFormat="1" x14ac:dyDescent="0.25"/>
    <row r="1604" s="82" customFormat="1" x14ac:dyDescent="0.25"/>
    <row r="1605" s="82" customFormat="1" x14ac:dyDescent="0.25"/>
    <row r="1606" s="82" customFormat="1" x14ac:dyDescent="0.25"/>
    <row r="1607" s="82" customFormat="1" x14ac:dyDescent="0.25"/>
    <row r="1608" s="82" customFormat="1" x14ac:dyDescent="0.25"/>
    <row r="1609" s="82" customFormat="1" x14ac:dyDescent="0.25"/>
    <row r="1610" s="82" customFormat="1" x14ac:dyDescent="0.25"/>
    <row r="1611" s="82" customFormat="1" x14ac:dyDescent="0.25"/>
    <row r="1612" s="82" customFormat="1" x14ac:dyDescent="0.25"/>
    <row r="1613" s="82" customFormat="1" x14ac:dyDescent="0.25"/>
    <row r="1614" s="82" customFormat="1" x14ac:dyDescent="0.25"/>
    <row r="1615" s="82" customFormat="1" x14ac:dyDescent="0.25"/>
    <row r="1616" s="82" customFormat="1" x14ac:dyDescent="0.25"/>
    <row r="1617" s="82" customFormat="1" x14ac:dyDescent="0.25"/>
    <row r="1618" s="82" customFormat="1" x14ac:dyDescent="0.25"/>
    <row r="1619" s="82" customFormat="1" x14ac:dyDescent="0.25"/>
    <row r="1620" s="82" customFormat="1" x14ac:dyDescent="0.25"/>
    <row r="1621" s="82" customFormat="1" x14ac:dyDescent="0.25"/>
    <row r="1622" s="82" customFormat="1" x14ac:dyDescent="0.25"/>
    <row r="1623" s="82" customFormat="1" x14ac:dyDescent="0.25"/>
    <row r="1624" s="82" customFormat="1" x14ac:dyDescent="0.25"/>
    <row r="1625" s="82" customFormat="1" x14ac:dyDescent="0.25"/>
    <row r="1626" s="82" customFormat="1" x14ac:dyDescent="0.25"/>
    <row r="1627" s="82" customFormat="1" x14ac:dyDescent="0.25"/>
    <row r="1628" s="82" customFormat="1" x14ac:dyDescent="0.25"/>
    <row r="1629" s="82" customFormat="1" x14ac:dyDescent="0.25"/>
    <row r="1630" s="82" customFormat="1" x14ac:dyDescent="0.25"/>
    <row r="1631" s="82" customFormat="1" x14ac:dyDescent="0.25"/>
    <row r="1632" s="82" customFormat="1" x14ac:dyDescent="0.25"/>
    <row r="1633" s="82" customFormat="1" x14ac:dyDescent="0.25"/>
    <row r="1634" s="82" customFormat="1" x14ac:dyDescent="0.25"/>
    <row r="1635" s="82" customFormat="1" x14ac:dyDescent="0.25"/>
    <row r="1636" s="82" customFormat="1" x14ac:dyDescent="0.25"/>
    <row r="1637" s="82" customFormat="1" x14ac:dyDescent="0.25"/>
    <row r="1638" s="82" customFormat="1" x14ac:dyDescent="0.25"/>
    <row r="1639" s="82" customFormat="1" x14ac:dyDescent="0.25"/>
    <row r="1640" s="82" customFormat="1" x14ac:dyDescent="0.25"/>
    <row r="1641" s="82" customFormat="1" x14ac:dyDescent="0.25"/>
    <row r="1642" s="82" customFormat="1" x14ac:dyDescent="0.25"/>
    <row r="1643" s="82" customFormat="1" x14ac:dyDescent="0.25"/>
    <row r="1644" s="82" customFormat="1" x14ac:dyDescent="0.25"/>
    <row r="1645" s="82" customFormat="1" x14ac:dyDescent="0.25"/>
    <row r="1646" s="82" customFormat="1" x14ac:dyDescent="0.25"/>
    <row r="1647" s="82" customFormat="1" x14ac:dyDescent="0.25"/>
    <row r="1648" s="82" customFormat="1" x14ac:dyDescent="0.25"/>
    <row r="1649" s="82" customFormat="1" x14ac:dyDescent="0.25"/>
    <row r="1650" s="82" customFormat="1" x14ac:dyDescent="0.25"/>
    <row r="1651" s="82" customFormat="1" x14ac:dyDescent="0.25"/>
    <row r="1652" s="82" customFormat="1" x14ac:dyDescent="0.25"/>
    <row r="1653" s="82" customFormat="1" x14ac:dyDescent="0.25"/>
    <row r="1654" s="82" customFormat="1" x14ac:dyDescent="0.25"/>
    <row r="1655" s="82" customFormat="1" x14ac:dyDescent="0.25"/>
    <row r="1656" s="82" customFormat="1" x14ac:dyDescent="0.25"/>
    <row r="1657" s="82" customFormat="1" x14ac:dyDescent="0.25"/>
    <row r="1658" s="82" customFormat="1" x14ac:dyDescent="0.25"/>
    <row r="1659" s="82" customFormat="1" x14ac:dyDescent="0.25"/>
    <row r="1660" s="82" customFormat="1" x14ac:dyDescent="0.25"/>
    <row r="1661" s="82" customFormat="1" x14ac:dyDescent="0.25"/>
    <row r="1662" s="82" customFormat="1" x14ac:dyDescent="0.25"/>
    <row r="1663" s="82" customFormat="1" x14ac:dyDescent="0.25"/>
    <row r="1664" s="82" customFormat="1" x14ac:dyDescent="0.25"/>
    <row r="1665" s="82" customFormat="1" x14ac:dyDescent="0.25"/>
    <row r="1666" s="82" customFormat="1" x14ac:dyDescent="0.25"/>
    <row r="1667" s="82" customFormat="1" x14ac:dyDescent="0.25"/>
    <row r="1668" s="82" customFormat="1" x14ac:dyDescent="0.25"/>
    <row r="1669" s="82" customFormat="1" x14ac:dyDescent="0.25"/>
    <row r="1670" s="82" customFormat="1" x14ac:dyDescent="0.25"/>
    <row r="1671" s="82" customFormat="1" x14ac:dyDescent="0.25"/>
    <row r="1672" s="82" customFormat="1" x14ac:dyDescent="0.25"/>
    <row r="1673" s="82" customFormat="1" x14ac:dyDescent="0.25"/>
    <row r="1674" s="82" customFormat="1" x14ac:dyDescent="0.25"/>
    <row r="1675" s="82" customFormat="1" x14ac:dyDescent="0.25"/>
    <row r="1676" s="82" customFormat="1" x14ac:dyDescent="0.25"/>
    <row r="1677" s="82" customFormat="1" x14ac:dyDescent="0.25"/>
    <row r="1678" s="82" customFormat="1" x14ac:dyDescent="0.25"/>
    <row r="1679" s="82" customFormat="1" x14ac:dyDescent="0.25"/>
    <row r="1680" s="82" customFormat="1" x14ac:dyDescent="0.25"/>
    <row r="1681" s="82" customFormat="1" x14ac:dyDescent="0.25"/>
    <row r="1682" s="82" customFormat="1" x14ac:dyDescent="0.25"/>
    <row r="1683" s="82" customFormat="1" x14ac:dyDescent="0.25"/>
    <row r="1684" s="82" customFormat="1" x14ac:dyDescent="0.25"/>
    <row r="1685" s="82" customFormat="1" x14ac:dyDescent="0.25"/>
    <row r="1686" s="82" customFormat="1" x14ac:dyDescent="0.25"/>
    <row r="1687" s="82" customFormat="1" x14ac:dyDescent="0.25"/>
    <row r="1688" s="82" customFormat="1" x14ac:dyDescent="0.25"/>
    <row r="1689" s="82" customFormat="1" x14ac:dyDescent="0.25"/>
    <row r="1690" s="82" customFormat="1" x14ac:dyDescent="0.25"/>
    <row r="1691" s="82" customFormat="1" x14ac:dyDescent="0.25"/>
    <row r="1692" s="82" customFormat="1" x14ac:dyDescent="0.25"/>
    <row r="1693" s="82" customFormat="1" x14ac:dyDescent="0.25"/>
    <row r="1694" s="82" customFormat="1" x14ac:dyDescent="0.25"/>
    <row r="1695" s="82" customFormat="1" x14ac:dyDescent="0.25"/>
    <row r="1696" s="82" customFormat="1" x14ac:dyDescent="0.25"/>
    <row r="1697" s="82" customFormat="1" x14ac:dyDescent="0.25"/>
    <row r="1698" s="82" customFormat="1" x14ac:dyDescent="0.25"/>
    <row r="1699" s="82" customFormat="1" x14ac:dyDescent="0.25"/>
    <row r="1700" s="82" customFormat="1" x14ac:dyDescent="0.25"/>
    <row r="1701" s="82" customFormat="1" x14ac:dyDescent="0.25"/>
    <row r="1702" s="82" customFormat="1" x14ac:dyDescent="0.25"/>
    <row r="1703" s="82" customFormat="1" x14ac:dyDescent="0.25"/>
    <row r="1704" s="82" customFormat="1" x14ac:dyDescent="0.25"/>
    <row r="1705" s="82" customFormat="1" x14ac:dyDescent="0.25"/>
    <row r="1706" s="82" customFormat="1" x14ac:dyDescent="0.25"/>
    <row r="1707" s="82" customFormat="1" x14ac:dyDescent="0.25"/>
    <row r="1708" s="82" customFormat="1" x14ac:dyDescent="0.25"/>
    <row r="1709" s="82" customFormat="1" x14ac:dyDescent="0.25"/>
    <row r="1710" s="82" customFormat="1" x14ac:dyDescent="0.25"/>
    <row r="1711" s="82" customFormat="1" x14ac:dyDescent="0.25"/>
    <row r="1712" s="82" customFormat="1" x14ac:dyDescent="0.25"/>
    <row r="1713" s="82" customFormat="1" x14ac:dyDescent="0.25"/>
    <row r="1714" s="82" customFormat="1" x14ac:dyDescent="0.25"/>
    <row r="1715" s="82" customFormat="1" x14ac:dyDescent="0.25"/>
    <row r="1716" s="82" customFormat="1" x14ac:dyDescent="0.25"/>
    <row r="1717" s="82" customFormat="1" x14ac:dyDescent="0.25"/>
    <row r="1718" s="82" customFormat="1" x14ac:dyDescent="0.25"/>
    <row r="1719" s="82" customFormat="1" x14ac:dyDescent="0.25"/>
    <row r="1720" s="82" customFormat="1" x14ac:dyDescent="0.25"/>
    <row r="1721" s="82" customFormat="1" x14ac:dyDescent="0.25"/>
    <row r="1722" s="82" customFormat="1" x14ac:dyDescent="0.25"/>
    <row r="1723" s="82" customFormat="1" x14ac:dyDescent="0.25"/>
    <row r="1724" s="82" customFormat="1" x14ac:dyDescent="0.25"/>
    <row r="1725" s="82" customFormat="1" x14ac:dyDescent="0.25"/>
    <row r="1726" s="82" customFormat="1" x14ac:dyDescent="0.25"/>
    <row r="1727" s="82" customFormat="1" x14ac:dyDescent="0.25"/>
    <row r="1728" s="82" customFormat="1" x14ac:dyDescent="0.25"/>
    <row r="1729" s="82" customFormat="1" x14ac:dyDescent="0.25"/>
    <row r="1730" s="82" customFormat="1" x14ac:dyDescent="0.25"/>
    <row r="1731" s="82" customFormat="1" x14ac:dyDescent="0.25"/>
    <row r="1732" s="82" customFormat="1" x14ac:dyDescent="0.25"/>
    <row r="1733" s="82" customFormat="1" x14ac:dyDescent="0.25"/>
    <row r="1734" s="82" customFormat="1" x14ac:dyDescent="0.25"/>
    <row r="1735" s="82" customFormat="1" x14ac:dyDescent="0.25"/>
    <row r="1736" s="82" customFormat="1" x14ac:dyDescent="0.25"/>
    <row r="1737" s="82" customFormat="1" x14ac:dyDescent="0.25"/>
    <row r="1738" s="82" customFormat="1" x14ac:dyDescent="0.25"/>
    <row r="1739" s="82" customFormat="1" x14ac:dyDescent="0.25"/>
    <row r="1740" s="82" customFormat="1" x14ac:dyDescent="0.25"/>
    <row r="1741" s="82" customFormat="1" x14ac:dyDescent="0.25"/>
    <row r="1742" s="82" customFormat="1" x14ac:dyDescent="0.25"/>
    <row r="1743" s="82" customFormat="1" x14ac:dyDescent="0.25"/>
    <row r="1744" s="82" customFormat="1" x14ac:dyDescent="0.25"/>
    <row r="1745" s="82" customFormat="1" x14ac:dyDescent="0.25"/>
    <row r="1746" s="82" customFormat="1" x14ac:dyDescent="0.25"/>
    <row r="1747" s="82" customFormat="1" x14ac:dyDescent="0.25"/>
    <row r="1748" s="82" customFormat="1" x14ac:dyDescent="0.25"/>
    <row r="1749" s="82" customFormat="1" x14ac:dyDescent="0.25"/>
    <row r="1750" s="82" customFormat="1" x14ac:dyDescent="0.25"/>
    <row r="1751" s="82" customFormat="1" x14ac:dyDescent="0.25"/>
    <row r="1752" s="82" customFormat="1" x14ac:dyDescent="0.25"/>
    <row r="1753" s="82" customFormat="1" x14ac:dyDescent="0.25"/>
    <row r="1754" s="82" customFormat="1" x14ac:dyDescent="0.25"/>
    <row r="1755" s="82" customFormat="1" x14ac:dyDescent="0.25"/>
    <row r="1756" s="82" customFormat="1" x14ac:dyDescent="0.25"/>
    <row r="1757" s="82" customFormat="1" x14ac:dyDescent="0.25"/>
    <row r="1758" s="82" customFormat="1" x14ac:dyDescent="0.25"/>
    <row r="1759" s="82" customFormat="1" x14ac:dyDescent="0.25"/>
    <row r="1760" s="82" customFormat="1" x14ac:dyDescent="0.25"/>
    <row r="1761" s="82" customFormat="1" x14ac:dyDescent="0.25"/>
    <row r="1762" s="82" customFormat="1" x14ac:dyDescent="0.25"/>
    <row r="1763" s="82" customFormat="1" x14ac:dyDescent="0.25"/>
    <row r="1764" s="82" customFormat="1" x14ac:dyDescent="0.25"/>
    <row r="1765" s="82" customFormat="1" x14ac:dyDescent="0.25"/>
    <row r="1766" s="82" customFormat="1" x14ac:dyDescent="0.25"/>
    <row r="1767" s="82" customFormat="1" x14ac:dyDescent="0.25"/>
    <row r="1768" s="82" customFormat="1" x14ac:dyDescent="0.25"/>
    <row r="1769" s="82" customFormat="1" x14ac:dyDescent="0.25"/>
    <row r="1770" s="82" customFormat="1" x14ac:dyDescent="0.25"/>
    <row r="1771" s="82" customFormat="1" x14ac:dyDescent="0.25"/>
    <row r="1772" s="82" customFormat="1" x14ac:dyDescent="0.25"/>
    <row r="1773" s="82" customFormat="1" x14ac:dyDescent="0.25"/>
    <row r="1774" s="82" customFormat="1" x14ac:dyDescent="0.25"/>
    <row r="1775" s="82" customFormat="1" x14ac:dyDescent="0.25"/>
    <row r="1776" s="82" customFormat="1" x14ac:dyDescent="0.25"/>
    <row r="1777" s="82" customFormat="1" x14ac:dyDescent="0.25"/>
    <row r="1778" s="82" customFormat="1" x14ac:dyDescent="0.25"/>
    <row r="1779" s="82" customFormat="1" x14ac:dyDescent="0.25"/>
    <row r="1780" s="82" customFormat="1" x14ac:dyDescent="0.25"/>
    <row r="1781" s="82" customFormat="1" x14ac:dyDescent="0.25"/>
    <row r="1782" s="82" customFormat="1" x14ac:dyDescent="0.25"/>
    <row r="1783" s="82" customFormat="1" x14ac:dyDescent="0.25"/>
    <row r="1784" s="82" customFormat="1" x14ac:dyDescent="0.25"/>
    <row r="1785" s="82" customFormat="1" x14ac:dyDescent="0.25"/>
    <row r="1786" s="82" customFormat="1" x14ac:dyDescent="0.25"/>
    <row r="1787" s="82" customFormat="1" x14ac:dyDescent="0.25"/>
    <row r="1788" s="82" customFormat="1" x14ac:dyDescent="0.25"/>
    <row r="1789" s="82" customFormat="1" x14ac:dyDescent="0.25"/>
    <row r="1790" s="82" customFormat="1" x14ac:dyDescent="0.25"/>
    <row r="1791" s="82" customFormat="1" x14ac:dyDescent="0.25"/>
    <row r="1792" s="82" customFormat="1" x14ac:dyDescent="0.25"/>
    <row r="1793" s="82" customFormat="1" x14ac:dyDescent="0.25"/>
    <row r="1794" s="82" customFormat="1" x14ac:dyDescent="0.25"/>
    <row r="1795" s="82" customFormat="1" x14ac:dyDescent="0.25"/>
    <row r="1796" s="82" customFormat="1" x14ac:dyDescent="0.25"/>
    <row r="1797" s="82" customFormat="1" x14ac:dyDescent="0.25"/>
    <row r="1798" s="82" customFormat="1" x14ac:dyDescent="0.25"/>
    <row r="1799" s="82" customFormat="1" x14ac:dyDescent="0.25"/>
    <row r="1800" s="82" customFormat="1" x14ac:dyDescent="0.25"/>
    <row r="1801" s="82" customFormat="1" x14ac:dyDescent="0.25"/>
    <row r="1802" s="82" customFormat="1" x14ac:dyDescent="0.25"/>
    <row r="1803" s="82" customFormat="1" x14ac:dyDescent="0.25"/>
    <row r="1804" s="82" customFormat="1" x14ac:dyDescent="0.25"/>
    <row r="1805" s="82" customFormat="1" x14ac:dyDescent="0.25"/>
    <row r="1806" s="82" customFormat="1" x14ac:dyDescent="0.25"/>
    <row r="1807" s="82" customFormat="1" x14ac:dyDescent="0.25"/>
    <row r="1808" s="82" customFormat="1" x14ac:dyDescent="0.25"/>
    <row r="1809" s="82" customFormat="1" x14ac:dyDescent="0.25"/>
    <row r="1810" s="82" customFormat="1" x14ac:dyDescent="0.25"/>
    <row r="1811" s="82" customFormat="1" x14ac:dyDescent="0.25"/>
    <row r="1812" s="82" customFormat="1" x14ac:dyDescent="0.25"/>
    <row r="1813" s="82" customFormat="1" x14ac:dyDescent="0.25"/>
    <row r="1814" s="82" customFormat="1" x14ac:dyDescent="0.25"/>
    <row r="1815" s="82" customFormat="1" x14ac:dyDescent="0.25"/>
    <row r="1816" s="82" customFormat="1" x14ac:dyDescent="0.25"/>
    <row r="1817" s="82" customFormat="1" x14ac:dyDescent="0.25"/>
    <row r="1818" s="82" customFormat="1" x14ac:dyDescent="0.25"/>
    <row r="1819" s="82" customFormat="1" x14ac:dyDescent="0.25"/>
    <row r="1820" s="82" customFormat="1" x14ac:dyDescent="0.25"/>
    <row r="1821" s="82" customFormat="1" x14ac:dyDescent="0.25"/>
    <row r="1822" s="82" customFormat="1" x14ac:dyDescent="0.25"/>
    <row r="1823" s="82" customFormat="1" x14ac:dyDescent="0.25"/>
    <row r="1824" s="82" customFormat="1" x14ac:dyDescent="0.25"/>
    <row r="1825" s="82" customFormat="1" x14ac:dyDescent="0.25"/>
    <row r="1826" s="82" customFormat="1" x14ac:dyDescent="0.25"/>
    <row r="1827" s="82" customFormat="1" x14ac:dyDescent="0.25"/>
    <row r="1828" s="82" customFormat="1" x14ac:dyDescent="0.25"/>
    <row r="1829" s="82" customFormat="1" x14ac:dyDescent="0.25"/>
    <row r="1830" s="82" customFormat="1" x14ac:dyDescent="0.25"/>
    <row r="1831" s="82" customFormat="1" x14ac:dyDescent="0.25"/>
    <row r="1832" s="82" customFormat="1" x14ac:dyDescent="0.25"/>
    <row r="1833" s="82" customFormat="1" x14ac:dyDescent="0.25"/>
    <row r="1834" s="82" customFormat="1" x14ac:dyDescent="0.25"/>
    <row r="1835" s="82" customFormat="1" x14ac:dyDescent="0.25"/>
    <row r="1836" s="82" customFormat="1" x14ac:dyDescent="0.25"/>
    <row r="1837" s="82" customFormat="1" x14ac:dyDescent="0.25"/>
    <row r="1838" s="82" customFormat="1" x14ac:dyDescent="0.25"/>
    <row r="1839" s="82" customFormat="1" x14ac:dyDescent="0.25"/>
    <row r="1840" s="82" customFormat="1" x14ac:dyDescent="0.25"/>
    <row r="1841" s="82" customFormat="1" x14ac:dyDescent="0.25"/>
    <row r="1842" s="82" customFormat="1" x14ac:dyDescent="0.25"/>
    <row r="1843" s="82" customFormat="1" x14ac:dyDescent="0.25"/>
    <row r="1844" s="82" customFormat="1" x14ac:dyDescent="0.25"/>
    <row r="1845" s="82" customFormat="1" x14ac:dyDescent="0.25"/>
    <row r="1846" s="82" customFormat="1" x14ac:dyDescent="0.25"/>
    <row r="1847" s="82" customFormat="1" x14ac:dyDescent="0.25"/>
    <row r="1848" s="82" customFormat="1" x14ac:dyDescent="0.25"/>
    <row r="1849" s="82" customFormat="1" x14ac:dyDescent="0.25"/>
    <row r="1850" s="82" customFormat="1" x14ac:dyDescent="0.25"/>
    <row r="1851" s="82" customFormat="1" x14ac:dyDescent="0.25"/>
    <row r="1852" s="82" customFormat="1" x14ac:dyDescent="0.25"/>
    <row r="1853" s="82" customFormat="1" x14ac:dyDescent="0.25"/>
    <row r="1854" s="82" customFormat="1" x14ac:dyDescent="0.25"/>
    <row r="1855" s="82" customFormat="1" x14ac:dyDescent="0.25"/>
    <row r="1856" s="82" customFormat="1" x14ac:dyDescent="0.25"/>
    <row r="1857" s="82" customFormat="1" x14ac:dyDescent="0.25"/>
    <row r="1858" s="82" customFormat="1" x14ac:dyDescent="0.25"/>
    <row r="1859" s="82" customFormat="1" x14ac:dyDescent="0.25"/>
    <row r="1860" s="82" customFormat="1" x14ac:dyDescent="0.25"/>
    <row r="1861" s="82" customFormat="1" x14ac:dyDescent="0.25"/>
    <row r="1862" s="82" customFormat="1" x14ac:dyDescent="0.25"/>
    <row r="1863" s="82" customFormat="1" x14ac:dyDescent="0.25"/>
    <row r="1864" s="82" customFormat="1" x14ac:dyDescent="0.25"/>
    <row r="1865" s="82" customFormat="1" x14ac:dyDescent="0.25"/>
    <row r="1866" s="82" customFormat="1" x14ac:dyDescent="0.25"/>
    <row r="1867" s="82" customFormat="1" x14ac:dyDescent="0.25"/>
    <row r="1868" s="82" customFormat="1" x14ac:dyDescent="0.25"/>
    <row r="1869" s="82" customFormat="1" x14ac:dyDescent="0.25"/>
    <row r="1870" s="82" customFormat="1" x14ac:dyDescent="0.25"/>
    <row r="1871" s="82" customFormat="1" x14ac:dyDescent="0.25"/>
    <row r="1872" s="82" customFormat="1" x14ac:dyDescent="0.25"/>
    <row r="1873" s="82" customFormat="1" x14ac:dyDescent="0.25"/>
    <row r="1874" s="82" customFormat="1" x14ac:dyDescent="0.25"/>
    <row r="1875" s="82" customFormat="1" x14ac:dyDescent="0.25"/>
    <row r="1876" s="82" customFormat="1" x14ac:dyDescent="0.25"/>
    <row r="1877" s="82" customFormat="1" x14ac:dyDescent="0.25"/>
    <row r="1878" s="82" customFormat="1" x14ac:dyDescent="0.25"/>
    <row r="1879" s="82" customFormat="1" x14ac:dyDescent="0.25"/>
    <row r="1880" s="82" customFormat="1" x14ac:dyDescent="0.25"/>
    <row r="1881" s="82" customFormat="1" x14ac:dyDescent="0.25"/>
    <row r="1882" s="82" customFormat="1" x14ac:dyDescent="0.25"/>
    <row r="1883" s="82" customFormat="1" x14ac:dyDescent="0.25"/>
    <row r="1884" s="82" customFormat="1" x14ac:dyDescent="0.25"/>
    <row r="1885" s="82" customFormat="1" x14ac:dyDescent="0.25"/>
    <row r="1886" s="82" customFormat="1" x14ac:dyDescent="0.25"/>
    <row r="1887" s="82" customFormat="1" x14ac:dyDescent="0.25"/>
    <row r="1888" s="82" customFormat="1" x14ac:dyDescent="0.25"/>
    <row r="1889" s="82" customFormat="1" x14ac:dyDescent="0.25"/>
    <row r="1890" s="82" customFormat="1" x14ac:dyDescent="0.25"/>
    <row r="1891" s="82" customFormat="1" x14ac:dyDescent="0.25"/>
    <row r="1892" s="82" customFormat="1" x14ac:dyDescent="0.25"/>
    <row r="1893" s="82" customFormat="1" x14ac:dyDescent="0.25"/>
    <row r="1894" s="82" customFormat="1" x14ac:dyDescent="0.25"/>
    <row r="1895" s="82" customFormat="1" x14ac:dyDescent="0.25"/>
    <row r="1896" s="82" customFormat="1" x14ac:dyDescent="0.25"/>
    <row r="1897" s="82" customFormat="1" x14ac:dyDescent="0.25"/>
    <row r="1898" s="82" customFormat="1" x14ac:dyDescent="0.25"/>
    <row r="1899" s="82" customFormat="1" x14ac:dyDescent="0.25"/>
    <row r="1900" s="82" customFormat="1" x14ac:dyDescent="0.25"/>
    <row r="1901" s="82" customFormat="1" x14ac:dyDescent="0.25"/>
    <row r="1902" s="82" customFormat="1" x14ac:dyDescent="0.25"/>
    <row r="1903" s="82" customFormat="1" x14ac:dyDescent="0.25"/>
    <row r="1904" s="82" customFormat="1" x14ac:dyDescent="0.25"/>
    <row r="1905" s="82" customFormat="1" x14ac:dyDescent="0.25"/>
    <row r="1906" s="82" customFormat="1" x14ac:dyDescent="0.25"/>
    <row r="1907" s="82" customFormat="1" x14ac:dyDescent="0.25"/>
    <row r="1908" s="82" customFormat="1" x14ac:dyDescent="0.25"/>
    <row r="1909" s="82" customFormat="1" x14ac:dyDescent="0.25"/>
    <row r="1910" s="82" customFormat="1" x14ac:dyDescent="0.25"/>
    <row r="1911" s="82" customFormat="1" x14ac:dyDescent="0.25"/>
    <row r="1912" s="82" customFormat="1" x14ac:dyDescent="0.25"/>
    <row r="1913" s="82" customFormat="1" x14ac:dyDescent="0.25"/>
    <row r="1914" s="82" customFormat="1" x14ac:dyDescent="0.25"/>
    <row r="1915" s="82" customFormat="1" x14ac:dyDescent="0.25"/>
    <row r="1916" s="82" customFormat="1" x14ac:dyDescent="0.25"/>
    <row r="1917" s="82" customFormat="1" x14ac:dyDescent="0.25"/>
    <row r="1918" s="82" customFormat="1" x14ac:dyDescent="0.25"/>
    <row r="1919" s="82" customFormat="1" x14ac:dyDescent="0.25"/>
    <row r="1920" s="82" customFormat="1" x14ac:dyDescent="0.25"/>
    <row r="1921" s="82" customFormat="1" x14ac:dyDescent="0.25"/>
    <row r="1922" s="82" customFormat="1" x14ac:dyDescent="0.25"/>
    <row r="1923" s="82" customFormat="1" x14ac:dyDescent="0.25"/>
    <row r="1924" s="82" customFormat="1" x14ac:dyDescent="0.25"/>
    <row r="1925" s="82" customFormat="1" x14ac:dyDescent="0.25"/>
    <row r="1926" s="82" customFormat="1" x14ac:dyDescent="0.25"/>
    <row r="1927" s="82" customFormat="1" x14ac:dyDescent="0.25"/>
    <row r="1928" s="82" customFormat="1" x14ac:dyDescent="0.25"/>
    <row r="1929" s="82" customFormat="1" x14ac:dyDescent="0.25"/>
    <row r="1930" s="82" customFormat="1" x14ac:dyDescent="0.25"/>
    <row r="1931" s="82" customFormat="1" x14ac:dyDescent="0.25"/>
    <row r="1932" s="82" customFormat="1" x14ac:dyDescent="0.25"/>
    <row r="1933" s="82" customFormat="1" x14ac:dyDescent="0.25"/>
    <row r="1934" s="82" customFormat="1" x14ac:dyDescent="0.25"/>
    <row r="1935" s="82" customFormat="1" x14ac:dyDescent="0.25"/>
    <row r="1936" s="82" customFormat="1" x14ac:dyDescent="0.25"/>
    <row r="1937" s="82" customFormat="1" x14ac:dyDescent="0.25"/>
    <row r="1938" s="82" customFormat="1" x14ac:dyDescent="0.25"/>
    <row r="1939" s="82" customFormat="1" x14ac:dyDescent="0.25"/>
    <row r="1940" s="82" customFormat="1" x14ac:dyDescent="0.25"/>
    <row r="1941" s="82" customFormat="1" x14ac:dyDescent="0.25"/>
    <row r="1942" s="82" customFormat="1" x14ac:dyDescent="0.25"/>
    <row r="1943" s="82" customFormat="1" x14ac:dyDescent="0.25"/>
    <row r="1944" s="82" customFormat="1" x14ac:dyDescent="0.25"/>
    <row r="1945" s="82" customFormat="1" x14ac:dyDescent="0.25"/>
    <row r="1946" s="82" customFormat="1" x14ac:dyDescent="0.25"/>
    <row r="1947" s="82" customFormat="1" x14ac:dyDescent="0.25"/>
    <row r="1948" s="82" customFormat="1" x14ac:dyDescent="0.25"/>
    <row r="1949" s="82" customFormat="1" x14ac:dyDescent="0.25"/>
    <row r="1950" s="82" customFormat="1" x14ac:dyDescent="0.25"/>
    <row r="1951" s="82" customFormat="1" x14ac:dyDescent="0.25"/>
    <row r="1952" s="82" customFormat="1" x14ac:dyDescent="0.25"/>
    <row r="1953" s="82" customFormat="1" x14ac:dyDescent="0.25"/>
    <row r="1954" s="82" customFormat="1" x14ac:dyDescent="0.25"/>
    <row r="1955" s="82" customFormat="1" x14ac:dyDescent="0.25"/>
    <row r="1956" s="82" customFormat="1" x14ac:dyDescent="0.25"/>
    <row r="1957" s="82" customFormat="1" x14ac:dyDescent="0.25"/>
    <row r="1958" s="82" customFormat="1" x14ac:dyDescent="0.25"/>
    <row r="1959" s="82" customFormat="1" x14ac:dyDescent="0.25"/>
    <row r="1960" s="82" customFormat="1" x14ac:dyDescent="0.25"/>
    <row r="1961" s="82" customFormat="1" x14ac:dyDescent="0.25"/>
    <row r="1962" s="82" customFormat="1" x14ac:dyDescent="0.25"/>
    <row r="1963" s="82" customFormat="1" x14ac:dyDescent="0.25"/>
    <row r="1964" s="82" customFormat="1" x14ac:dyDescent="0.25"/>
    <row r="1965" s="82" customFormat="1" x14ac:dyDescent="0.25"/>
    <row r="1966" s="82" customFormat="1" x14ac:dyDescent="0.25"/>
    <row r="1967" s="82" customFormat="1" x14ac:dyDescent="0.25"/>
    <row r="1968" s="82" customFormat="1" x14ac:dyDescent="0.25"/>
    <row r="1969" s="82" customFormat="1" x14ac:dyDescent="0.25"/>
    <row r="1970" s="82" customFormat="1" x14ac:dyDescent="0.25"/>
    <row r="1971" s="82" customFormat="1" x14ac:dyDescent="0.25"/>
    <row r="1972" s="82" customFormat="1" x14ac:dyDescent="0.25"/>
    <row r="1973" s="82" customFormat="1" x14ac:dyDescent="0.25"/>
    <row r="1974" s="82" customFormat="1" x14ac:dyDescent="0.25"/>
    <row r="1975" s="82" customFormat="1" x14ac:dyDescent="0.25"/>
    <row r="1976" s="82" customFormat="1" x14ac:dyDescent="0.25"/>
    <row r="1977" s="82" customFormat="1" x14ac:dyDescent="0.25"/>
    <row r="1978" s="82" customFormat="1" x14ac:dyDescent="0.25"/>
    <row r="1979" s="82" customFormat="1" x14ac:dyDescent="0.25"/>
    <row r="1980" s="82" customFormat="1" x14ac:dyDescent="0.25"/>
    <row r="1981" s="82" customFormat="1" x14ac:dyDescent="0.25"/>
    <row r="1982" s="82" customFormat="1" x14ac:dyDescent="0.25"/>
    <row r="1983" s="82" customFormat="1" x14ac:dyDescent="0.25"/>
    <row r="1984" s="82" customFormat="1" x14ac:dyDescent="0.25"/>
    <row r="1985" s="82" customFormat="1" x14ac:dyDescent="0.25"/>
    <row r="1986" s="82" customFormat="1" x14ac:dyDescent="0.25"/>
    <row r="1987" s="82" customFormat="1" x14ac:dyDescent="0.25"/>
    <row r="1988" s="82" customFormat="1" x14ac:dyDescent="0.25"/>
    <row r="1989" s="82" customFormat="1" x14ac:dyDescent="0.25"/>
    <row r="1990" s="82" customFormat="1" x14ac:dyDescent="0.25"/>
    <row r="1991" s="82" customFormat="1" x14ac:dyDescent="0.25"/>
    <row r="1992" s="82" customFormat="1" x14ac:dyDescent="0.25"/>
    <row r="1993" s="82" customFormat="1" x14ac:dyDescent="0.25"/>
    <row r="1994" s="82" customFormat="1" x14ac:dyDescent="0.25"/>
    <row r="1995" s="82" customFormat="1" x14ac:dyDescent="0.25"/>
    <row r="1996" s="82" customFormat="1" x14ac:dyDescent="0.25"/>
    <row r="1997" s="82" customFormat="1" x14ac:dyDescent="0.25"/>
    <row r="1998" s="82" customFormat="1" x14ac:dyDescent="0.25"/>
    <row r="1999" s="82" customFormat="1" x14ac:dyDescent="0.25"/>
    <row r="2000" s="82" customFormat="1" x14ac:dyDescent="0.25"/>
    <row r="2001" s="82" customFormat="1" x14ac:dyDescent="0.25"/>
    <row r="2002" s="82" customFormat="1" x14ac:dyDescent="0.25"/>
    <row r="2003" s="82" customFormat="1" x14ac:dyDescent="0.25"/>
    <row r="2004" s="82" customFormat="1" x14ac:dyDescent="0.25"/>
    <row r="2005" s="82" customFormat="1" x14ac:dyDescent="0.25"/>
    <row r="2006" s="82" customFormat="1" x14ac:dyDescent="0.25"/>
    <row r="2007" s="82" customFormat="1" x14ac:dyDescent="0.25"/>
    <row r="2008" s="82" customFormat="1" x14ac:dyDescent="0.25"/>
    <row r="2009" s="82" customFormat="1" x14ac:dyDescent="0.25"/>
    <row r="2010" s="82" customFormat="1" x14ac:dyDescent="0.25"/>
    <row r="2011" s="82" customFormat="1" x14ac:dyDescent="0.25"/>
    <row r="2012" s="82" customFormat="1" x14ac:dyDescent="0.25"/>
    <row r="2013" s="82" customFormat="1" x14ac:dyDescent="0.25"/>
    <row r="2014" s="82" customFormat="1" x14ac:dyDescent="0.25"/>
    <row r="2015" s="82" customFormat="1" x14ac:dyDescent="0.25"/>
    <row r="2016" s="82" customFormat="1" x14ac:dyDescent="0.25"/>
    <row r="2017" s="82" customFormat="1" x14ac:dyDescent="0.25"/>
    <row r="2018" s="82" customFormat="1" x14ac:dyDescent="0.25"/>
    <row r="2019" s="82" customFormat="1" x14ac:dyDescent="0.25"/>
    <row r="2020" s="82" customFormat="1" x14ac:dyDescent="0.25"/>
    <row r="2021" s="82" customFormat="1" x14ac:dyDescent="0.25"/>
    <row r="2022" s="82" customFormat="1" x14ac:dyDescent="0.25"/>
    <row r="2023" s="82" customFormat="1" x14ac:dyDescent="0.25"/>
    <row r="2024" s="82" customFormat="1" x14ac:dyDescent="0.25"/>
    <row r="2025" s="82" customFormat="1" x14ac:dyDescent="0.25"/>
    <row r="2026" s="82" customFormat="1" x14ac:dyDescent="0.25"/>
    <row r="2027" s="82" customFormat="1" x14ac:dyDescent="0.25"/>
    <row r="2028" s="82" customFormat="1" x14ac:dyDescent="0.25"/>
    <row r="2029" s="82" customFormat="1" x14ac:dyDescent="0.25"/>
    <row r="2030" s="82" customFormat="1" x14ac:dyDescent="0.25"/>
    <row r="2031" s="82" customFormat="1" x14ac:dyDescent="0.25"/>
    <row r="2032" s="82" customFormat="1" x14ac:dyDescent="0.25"/>
    <row r="2033" s="82" customFormat="1" x14ac:dyDescent="0.25"/>
    <row r="2034" s="82" customFormat="1" x14ac:dyDescent="0.25"/>
    <row r="2035" s="82" customFormat="1" x14ac:dyDescent="0.25"/>
    <row r="2036" s="82" customFormat="1" x14ac:dyDescent="0.25"/>
    <row r="2037" s="82" customFormat="1" x14ac:dyDescent="0.25"/>
    <row r="2038" s="82" customFormat="1" x14ac:dyDescent="0.25"/>
    <row r="2039" s="82" customFormat="1" x14ac:dyDescent="0.25"/>
    <row r="2040" s="82" customFormat="1" x14ac:dyDescent="0.25"/>
    <row r="2041" s="82" customFormat="1" x14ac:dyDescent="0.25"/>
    <row r="2042" s="82" customFormat="1" x14ac:dyDescent="0.25"/>
    <row r="2043" s="82" customFormat="1" x14ac:dyDescent="0.25"/>
    <row r="2044" s="82" customFormat="1" x14ac:dyDescent="0.25"/>
    <row r="2045" s="82" customFormat="1" x14ac:dyDescent="0.25"/>
    <row r="2046" s="82" customFormat="1" x14ac:dyDescent="0.25"/>
    <row r="2047" s="82" customFormat="1" x14ac:dyDescent="0.25"/>
    <row r="2048" s="82" customFormat="1" x14ac:dyDescent="0.25"/>
    <row r="2049" s="82" customFormat="1" x14ac:dyDescent="0.25"/>
    <row r="2050" s="82" customFormat="1" x14ac:dyDescent="0.25"/>
    <row r="2051" s="82" customFormat="1" x14ac:dyDescent="0.25"/>
    <row r="2052" s="82" customFormat="1" x14ac:dyDescent="0.25"/>
    <row r="2053" s="82" customFormat="1" x14ac:dyDescent="0.25"/>
    <row r="2054" s="82" customFormat="1" x14ac:dyDescent="0.25"/>
    <row r="2055" s="82" customFormat="1" x14ac:dyDescent="0.25"/>
    <row r="2056" s="82" customFormat="1" x14ac:dyDescent="0.25"/>
    <row r="2057" s="82" customFormat="1" x14ac:dyDescent="0.25"/>
    <row r="2058" s="82" customFormat="1" x14ac:dyDescent="0.25"/>
    <row r="2059" s="82" customFormat="1" x14ac:dyDescent="0.25"/>
    <row r="2060" s="82" customFormat="1" x14ac:dyDescent="0.25"/>
    <row r="2061" s="82" customFormat="1" x14ac:dyDescent="0.25"/>
    <row r="2062" s="82" customFormat="1" x14ac:dyDescent="0.25"/>
    <row r="2063" s="82" customFormat="1" x14ac:dyDescent="0.25"/>
    <row r="2064" s="82" customFormat="1" x14ac:dyDescent="0.25"/>
    <row r="2065" s="82" customFormat="1" x14ac:dyDescent="0.25"/>
    <row r="2066" s="82" customFormat="1" x14ac:dyDescent="0.25"/>
    <row r="2067" s="82" customFormat="1" x14ac:dyDescent="0.25"/>
    <row r="2068" s="82" customFormat="1" x14ac:dyDescent="0.25"/>
    <row r="2069" s="82" customFormat="1" x14ac:dyDescent="0.25"/>
    <row r="2070" s="82" customFormat="1" x14ac:dyDescent="0.25"/>
    <row r="2071" s="82" customFormat="1" x14ac:dyDescent="0.25"/>
    <row r="2072" s="82" customFormat="1" x14ac:dyDescent="0.25"/>
    <row r="2073" s="82" customFormat="1" x14ac:dyDescent="0.25"/>
    <row r="2074" s="82" customFormat="1" x14ac:dyDescent="0.25"/>
    <row r="2075" s="82" customFormat="1" x14ac:dyDescent="0.25"/>
    <row r="2076" s="82" customFormat="1" x14ac:dyDescent="0.25"/>
    <row r="2077" s="82" customFormat="1" x14ac:dyDescent="0.25"/>
    <row r="2078" s="82" customFormat="1" x14ac:dyDescent="0.25"/>
    <row r="2079" s="82" customFormat="1" x14ac:dyDescent="0.25"/>
    <row r="2080" s="82" customFormat="1" x14ac:dyDescent="0.25"/>
    <row r="2081" s="82" customFormat="1" x14ac:dyDescent="0.25"/>
    <row r="2082" s="82" customFormat="1" x14ac:dyDescent="0.25"/>
    <row r="2083" s="82" customFormat="1" x14ac:dyDescent="0.25"/>
    <row r="2084" s="82" customFormat="1" x14ac:dyDescent="0.25"/>
    <row r="2085" s="82" customFormat="1" x14ac:dyDescent="0.25"/>
    <row r="2086" s="82" customFormat="1" x14ac:dyDescent="0.25"/>
    <row r="2087" s="82" customFormat="1" x14ac:dyDescent="0.25"/>
    <row r="2088" s="82" customFormat="1" x14ac:dyDescent="0.25"/>
    <row r="2089" s="82" customFormat="1" x14ac:dyDescent="0.25"/>
    <row r="2090" s="82" customFormat="1" x14ac:dyDescent="0.25"/>
    <row r="2091" s="82" customFormat="1" x14ac:dyDescent="0.25"/>
    <row r="2092" s="82" customFormat="1" x14ac:dyDescent="0.25"/>
    <row r="2093" s="82" customFormat="1" x14ac:dyDescent="0.25"/>
    <row r="2094" s="82" customFormat="1" x14ac:dyDescent="0.25"/>
    <row r="2095" s="82" customFormat="1" x14ac:dyDescent="0.25"/>
    <row r="2096" s="82" customFormat="1" x14ac:dyDescent="0.25"/>
    <row r="2097" s="82" customFormat="1" x14ac:dyDescent="0.25"/>
    <row r="2098" s="82" customFormat="1" x14ac:dyDescent="0.25"/>
    <row r="2099" s="82" customFormat="1" x14ac:dyDescent="0.25"/>
    <row r="2100" s="82" customFormat="1" x14ac:dyDescent="0.25"/>
    <row r="2101" s="82" customFormat="1" x14ac:dyDescent="0.25"/>
    <row r="2102" s="82" customFormat="1" x14ac:dyDescent="0.25"/>
    <row r="2103" s="82" customFormat="1" x14ac:dyDescent="0.25"/>
    <row r="2104" s="82" customFormat="1" x14ac:dyDescent="0.25"/>
    <row r="2105" s="82" customFormat="1" x14ac:dyDescent="0.25"/>
    <row r="2106" s="82" customFormat="1" x14ac:dyDescent="0.25"/>
    <row r="2107" s="82" customFormat="1" x14ac:dyDescent="0.25"/>
    <row r="2108" s="82" customFormat="1" x14ac:dyDescent="0.25"/>
    <row r="2109" s="82" customFormat="1" x14ac:dyDescent="0.25"/>
    <row r="2110" s="82" customFormat="1" x14ac:dyDescent="0.25"/>
    <row r="2111" s="82" customFormat="1" x14ac:dyDescent="0.25"/>
    <row r="2112" s="82" customFormat="1" x14ac:dyDescent="0.25"/>
    <row r="2113" s="82" customFormat="1" x14ac:dyDescent="0.25"/>
    <row r="2114" s="82" customFormat="1" x14ac:dyDescent="0.25"/>
    <row r="2115" s="82" customFormat="1" x14ac:dyDescent="0.25"/>
    <row r="2116" s="82" customFormat="1" x14ac:dyDescent="0.25"/>
    <row r="2117" s="82" customFormat="1" x14ac:dyDescent="0.25"/>
    <row r="2118" s="82" customFormat="1" x14ac:dyDescent="0.25"/>
    <row r="2119" s="82" customFormat="1" x14ac:dyDescent="0.25"/>
    <row r="2120" s="82" customFormat="1" x14ac:dyDescent="0.25"/>
    <row r="2121" s="82" customFormat="1" x14ac:dyDescent="0.25"/>
    <row r="2122" s="82" customFormat="1" x14ac:dyDescent="0.25"/>
    <row r="2123" s="82" customFormat="1" x14ac:dyDescent="0.25"/>
    <row r="2124" s="82" customFormat="1" x14ac:dyDescent="0.25"/>
    <row r="2125" s="82" customFormat="1" x14ac:dyDescent="0.25"/>
    <row r="2126" s="82" customFormat="1" x14ac:dyDescent="0.25"/>
    <row r="2127" s="82" customFormat="1" x14ac:dyDescent="0.25"/>
    <row r="2128" s="82" customFormat="1" x14ac:dyDescent="0.25"/>
    <row r="2129" s="82" customFormat="1" x14ac:dyDescent="0.25"/>
    <row r="2130" s="82" customFormat="1" x14ac:dyDescent="0.25"/>
    <row r="2131" s="82" customFormat="1" x14ac:dyDescent="0.25"/>
    <row r="2132" s="82" customFormat="1" x14ac:dyDescent="0.25"/>
    <row r="2133" s="82" customFormat="1" x14ac:dyDescent="0.25"/>
    <row r="2134" s="82" customFormat="1" x14ac:dyDescent="0.25"/>
    <row r="2135" s="82" customFormat="1" x14ac:dyDescent="0.25"/>
    <row r="2136" s="82" customFormat="1" x14ac:dyDescent="0.25"/>
    <row r="2137" s="82" customFormat="1" x14ac:dyDescent="0.25"/>
    <row r="2138" s="82" customFormat="1" x14ac:dyDescent="0.25"/>
    <row r="2139" s="82" customFormat="1" x14ac:dyDescent="0.25"/>
    <row r="2140" s="82" customFormat="1" x14ac:dyDescent="0.25"/>
    <row r="2141" s="82" customFormat="1" x14ac:dyDescent="0.25"/>
    <row r="2142" s="82" customFormat="1" x14ac:dyDescent="0.25"/>
    <row r="2143" s="82" customFormat="1" x14ac:dyDescent="0.25"/>
    <row r="2144" s="82" customFormat="1" x14ac:dyDescent="0.25"/>
    <row r="2145" s="82" customFormat="1" x14ac:dyDescent="0.25"/>
    <row r="2146" s="82" customFormat="1" x14ac:dyDescent="0.25"/>
    <row r="2147" s="82" customFormat="1" x14ac:dyDescent="0.25"/>
    <row r="2148" s="82" customFormat="1" x14ac:dyDescent="0.25"/>
    <row r="2149" s="82" customFormat="1" x14ac:dyDescent="0.25"/>
    <row r="2150" s="82" customFormat="1" x14ac:dyDescent="0.25"/>
    <row r="2151" s="82" customFormat="1" x14ac:dyDescent="0.25"/>
    <row r="2152" s="82" customFormat="1" x14ac:dyDescent="0.25"/>
    <row r="2153" s="82" customFormat="1" x14ac:dyDescent="0.25"/>
    <row r="2154" s="82" customFormat="1" x14ac:dyDescent="0.25"/>
    <row r="2155" s="82" customFormat="1" x14ac:dyDescent="0.25"/>
    <row r="2156" s="82" customFormat="1" x14ac:dyDescent="0.25"/>
    <row r="2157" s="82" customFormat="1" x14ac:dyDescent="0.25"/>
    <row r="2158" s="82" customFormat="1" x14ac:dyDescent="0.25"/>
    <row r="2159" s="82" customFormat="1" x14ac:dyDescent="0.25"/>
    <row r="2160" s="82" customFormat="1" x14ac:dyDescent="0.25"/>
    <row r="2161" s="82" customFormat="1" x14ac:dyDescent="0.25"/>
    <row r="2162" s="82" customFormat="1" x14ac:dyDescent="0.25"/>
    <row r="2163" s="82" customFormat="1" x14ac:dyDescent="0.25"/>
    <row r="2164" s="82" customFormat="1" x14ac:dyDescent="0.25"/>
    <row r="2165" s="82" customFormat="1" x14ac:dyDescent="0.25"/>
    <row r="2166" s="82" customFormat="1" x14ac:dyDescent="0.25"/>
    <row r="2167" s="82" customFormat="1" x14ac:dyDescent="0.25"/>
    <row r="2168" s="82" customFormat="1" x14ac:dyDescent="0.25"/>
    <row r="2169" s="82" customFormat="1" x14ac:dyDescent="0.25"/>
    <row r="2170" s="82" customFormat="1" x14ac:dyDescent="0.25"/>
    <row r="2171" s="82" customFormat="1" x14ac:dyDescent="0.25"/>
    <row r="2172" s="82" customFormat="1" x14ac:dyDescent="0.25"/>
    <row r="2173" s="82" customFormat="1" x14ac:dyDescent="0.25"/>
    <row r="2174" s="82" customFormat="1" x14ac:dyDescent="0.25"/>
    <row r="2175" s="82" customFormat="1" x14ac:dyDescent="0.25"/>
    <row r="2176" s="82" customFormat="1" x14ac:dyDescent="0.25"/>
    <row r="2177" s="82" customFormat="1" x14ac:dyDescent="0.25"/>
    <row r="2178" s="82" customFormat="1" x14ac:dyDescent="0.25"/>
    <row r="2179" s="82" customFormat="1" x14ac:dyDescent="0.25"/>
    <row r="2180" s="82" customFormat="1" x14ac:dyDescent="0.25"/>
    <row r="2181" s="82" customFormat="1" x14ac:dyDescent="0.25"/>
    <row r="2182" s="82" customFormat="1" x14ac:dyDescent="0.25"/>
    <row r="2183" s="82" customFormat="1" x14ac:dyDescent="0.25"/>
    <row r="2184" s="82" customFormat="1" x14ac:dyDescent="0.25"/>
    <row r="2185" s="82" customFormat="1" x14ac:dyDescent="0.25"/>
    <row r="2186" s="82" customFormat="1" x14ac:dyDescent="0.25"/>
    <row r="2187" s="82" customFormat="1" x14ac:dyDescent="0.25"/>
    <row r="2188" s="82" customFormat="1" x14ac:dyDescent="0.25"/>
    <row r="2189" s="82" customFormat="1" x14ac:dyDescent="0.25"/>
    <row r="2190" s="82" customFormat="1" x14ac:dyDescent="0.25"/>
    <row r="2191" s="82" customFormat="1" x14ac:dyDescent="0.25"/>
    <row r="2192" s="82" customFormat="1" x14ac:dyDescent="0.25"/>
    <row r="2193" s="82" customFormat="1" x14ac:dyDescent="0.25"/>
    <row r="2194" s="82" customFormat="1" x14ac:dyDescent="0.25"/>
    <row r="2195" s="82" customFormat="1" x14ac:dyDescent="0.25"/>
    <row r="2196" s="82" customFormat="1" x14ac:dyDescent="0.25"/>
    <row r="2197" s="82" customFormat="1" x14ac:dyDescent="0.25"/>
    <row r="2198" s="82" customFormat="1" x14ac:dyDescent="0.25"/>
    <row r="2199" s="82" customFormat="1" x14ac:dyDescent="0.25"/>
    <row r="2200" s="82" customFormat="1" x14ac:dyDescent="0.25"/>
    <row r="2201" s="82" customFormat="1" x14ac:dyDescent="0.25"/>
    <row r="2202" s="82" customFormat="1" x14ac:dyDescent="0.25"/>
    <row r="2203" s="82" customFormat="1" x14ac:dyDescent="0.25"/>
    <row r="2204" s="82" customFormat="1" x14ac:dyDescent="0.25"/>
    <row r="2205" s="82" customFormat="1" x14ac:dyDescent="0.25"/>
    <row r="2206" s="82" customFormat="1" x14ac:dyDescent="0.25"/>
    <row r="2207" s="82" customFormat="1" x14ac:dyDescent="0.25"/>
    <row r="2208" s="82" customFormat="1" x14ac:dyDescent="0.25"/>
    <row r="2209" s="82" customFormat="1" x14ac:dyDescent="0.25"/>
    <row r="2210" s="82" customFormat="1" x14ac:dyDescent="0.25"/>
    <row r="2211" s="82" customFormat="1" x14ac:dyDescent="0.25"/>
    <row r="2212" s="82" customFormat="1" x14ac:dyDescent="0.25"/>
    <row r="2213" s="82" customFormat="1" x14ac:dyDescent="0.25"/>
    <row r="2214" s="82" customFormat="1" x14ac:dyDescent="0.25"/>
    <row r="2215" s="82" customFormat="1" x14ac:dyDescent="0.25"/>
    <row r="2216" s="82" customFormat="1" x14ac:dyDescent="0.25"/>
    <row r="2217" s="82" customFormat="1" x14ac:dyDescent="0.25"/>
    <row r="2218" s="82" customFormat="1" x14ac:dyDescent="0.25"/>
    <row r="2219" s="82" customFormat="1" x14ac:dyDescent="0.25"/>
    <row r="2220" s="82" customFormat="1" x14ac:dyDescent="0.25"/>
    <row r="2221" s="82" customFormat="1" x14ac:dyDescent="0.25"/>
    <row r="2222" s="82" customFormat="1" x14ac:dyDescent="0.25"/>
    <row r="2223" s="82" customFormat="1" x14ac:dyDescent="0.25"/>
    <row r="2224" s="82" customFormat="1" x14ac:dyDescent="0.25"/>
    <row r="2225" s="82" customFormat="1" x14ac:dyDescent="0.25"/>
    <row r="2226" s="82" customFormat="1" x14ac:dyDescent="0.25"/>
    <row r="2227" s="82" customFormat="1" x14ac:dyDescent="0.25"/>
    <row r="2228" s="82" customFormat="1" x14ac:dyDescent="0.25"/>
    <row r="2229" s="82" customFormat="1" x14ac:dyDescent="0.25"/>
    <row r="2230" s="82" customFormat="1" x14ac:dyDescent="0.25"/>
    <row r="2231" s="82" customFormat="1" x14ac:dyDescent="0.25"/>
    <row r="2232" s="82" customFormat="1" x14ac:dyDescent="0.25"/>
    <row r="2233" s="82" customFormat="1" x14ac:dyDescent="0.25"/>
    <row r="2234" s="82" customFormat="1" x14ac:dyDescent="0.25"/>
    <row r="2235" s="82" customFormat="1" x14ac:dyDescent="0.25"/>
    <row r="2236" s="82" customFormat="1" x14ac:dyDescent="0.25"/>
    <row r="2237" s="82" customFormat="1" x14ac:dyDescent="0.25"/>
    <row r="2238" s="82" customFormat="1" x14ac:dyDescent="0.25"/>
    <row r="2239" s="82" customFormat="1" x14ac:dyDescent="0.25"/>
    <row r="2240" s="82" customFormat="1" x14ac:dyDescent="0.25"/>
    <row r="2241" s="82" customFormat="1" x14ac:dyDescent="0.25"/>
    <row r="2242" s="82" customFormat="1" x14ac:dyDescent="0.25"/>
    <row r="2243" s="82" customFormat="1" x14ac:dyDescent="0.25"/>
    <row r="2244" s="82" customFormat="1" x14ac:dyDescent="0.25"/>
    <row r="2245" s="82" customFormat="1" x14ac:dyDescent="0.25"/>
    <row r="2246" s="82" customFormat="1" x14ac:dyDescent="0.25"/>
    <row r="2247" s="82" customFormat="1" x14ac:dyDescent="0.25"/>
    <row r="2248" s="82" customFormat="1" x14ac:dyDescent="0.25"/>
    <row r="2249" s="82" customFormat="1" x14ac:dyDescent="0.25"/>
    <row r="2250" s="82" customFormat="1" x14ac:dyDescent="0.25"/>
    <row r="2251" s="82" customFormat="1" x14ac:dyDescent="0.25"/>
    <row r="2252" s="82" customFormat="1" x14ac:dyDescent="0.25"/>
    <row r="2253" s="82" customFormat="1" x14ac:dyDescent="0.25"/>
    <row r="2254" s="82" customFormat="1" x14ac:dyDescent="0.25"/>
    <row r="2255" s="82" customFormat="1" x14ac:dyDescent="0.25"/>
    <row r="2256" s="82" customFormat="1" x14ac:dyDescent="0.25"/>
    <row r="2257" s="82" customFormat="1" x14ac:dyDescent="0.25"/>
    <row r="2258" s="82" customFormat="1" x14ac:dyDescent="0.25"/>
    <row r="2259" s="82" customFormat="1" x14ac:dyDescent="0.25"/>
    <row r="2260" s="82" customFormat="1" x14ac:dyDescent="0.25"/>
    <row r="2261" s="82" customFormat="1" x14ac:dyDescent="0.25"/>
    <row r="2262" s="82" customFormat="1" x14ac:dyDescent="0.25"/>
    <row r="2263" s="82" customFormat="1" x14ac:dyDescent="0.25"/>
    <row r="2264" s="82" customFormat="1" x14ac:dyDescent="0.25"/>
    <row r="2265" s="82" customFormat="1" x14ac:dyDescent="0.25"/>
    <row r="2266" s="82" customFormat="1" x14ac:dyDescent="0.25"/>
    <row r="2267" s="82" customFormat="1" x14ac:dyDescent="0.25"/>
    <row r="2268" s="82" customFormat="1" x14ac:dyDescent="0.25"/>
    <row r="2269" s="82" customFormat="1" x14ac:dyDescent="0.25"/>
    <row r="2270" s="82" customFormat="1" x14ac:dyDescent="0.25"/>
    <row r="2271" s="82" customFormat="1" x14ac:dyDescent="0.25"/>
    <row r="2272" s="82" customFormat="1" x14ac:dyDescent="0.25"/>
    <row r="2273" s="82" customFormat="1" x14ac:dyDescent="0.25"/>
    <row r="2274" s="82" customFormat="1" x14ac:dyDescent="0.25"/>
    <row r="2275" s="82" customFormat="1" x14ac:dyDescent="0.25"/>
    <row r="2276" s="82" customFormat="1" x14ac:dyDescent="0.25"/>
    <row r="2277" s="82" customFormat="1" x14ac:dyDescent="0.25"/>
    <row r="2278" s="82" customFormat="1" x14ac:dyDescent="0.25"/>
    <row r="2279" s="82" customFormat="1" x14ac:dyDescent="0.25"/>
    <row r="2280" s="82" customFormat="1" x14ac:dyDescent="0.25"/>
    <row r="2281" s="82" customFormat="1" x14ac:dyDescent="0.25"/>
    <row r="2282" s="82" customFormat="1" x14ac:dyDescent="0.25"/>
    <row r="2283" s="82" customFormat="1" x14ac:dyDescent="0.25"/>
    <row r="2284" s="82" customFormat="1" x14ac:dyDescent="0.25"/>
    <row r="2285" s="82" customFormat="1" x14ac:dyDescent="0.25"/>
    <row r="2286" s="82" customFormat="1" x14ac:dyDescent="0.25"/>
    <row r="2287" s="82" customFormat="1" x14ac:dyDescent="0.25"/>
    <row r="2288" s="82" customFormat="1" x14ac:dyDescent="0.25"/>
    <row r="2289" s="82" customFormat="1" x14ac:dyDescent="0.25"/>
    <row r="2290" s="82" customFormat="1" x14ac:dyDescent="0.25"/>
    <row r="2291" s="82" customFormat="1" x14ac:dyDescent="0.25"/>
    <row r="2292" s="82" customFormat="1" x14ac:dyDescent="0.25"/>
    <row r="2293" s="82" customFormat="1" x14ac:dyDescent="0.25"/>
    <row r="2294" s="82" customFormat="1" x14ac:dyDescent="0.25"/>
    <row r="2295" s="82" customFormat="1" x14ac:dyDescent="0.25"/>
    <row r="2296" s="82" customFormat="1" x14ac:dyDescent="0.25"/>
    <row r="2297" s="82" customFormat="1" x14ac:dyDescent="0.25"/>
    <row r="2298" s="82" customFormat="1" x14ac:dyDescent="0.25"/>
    <row r="2299" s="82" customFormat="1" x14ac:dyDescent="0.25"/>
    <row r="2300" s="82" customFormat="1" x14ac:dyDescent="0.25"/>
    <row r="2301" s="82" customFormat="1" x14ac:dyDescent="0.25"/>
    <row r="2302" s="82" customFormat="1" x14ac:dyDescent="0.25"/>
    <row r="2303" s="82" customFormat="1" x14ac:dyDescent="0.25"/>
    <row r="2304" s="82" customFormat="1" x14ac:dyDescent="0.25"/>
    <row r="2305" s="82" customFormat="1" x14ac:dyDescent="0.25"/>
    <row r="2306" s="82" customFormat="1" x14ac:dyDescent="0.25"/>
    <row r="2307" s="82" customFormat="1" x14ac:dyDescent="0.25"/>
    <row r="2308" s="82" customFormat="1" x14ac:dyDescent="0.25"/>
    <row r="2309" s="82" customFormat="1" x14ac:dyDescent="0.25"/>
    <row r="2310" s="82" customFormat="1" x14ac:dyDescent="0.25"/>
    <row r="2311" s="82" customFormat="1" x14ac:dyDescent="0.25"/>
    <row r="2312" s="82" customFormat="1" x14ac:dyDescent="0.25"/>
    <row r="2313" s="82" customFormat="1" x14ac:dyDescent="0.25"/>
    <row r="2314" s="82" customFormat="1" x14ac:dyDescent="0.25"/>
    <row r="2315" s="82" customFormat="1" x14ac:dyDescent="0.25"/>
    <row r="2316" s="82" customFormat="1" x14ac:dyDescent="0.25"/>
    <row r="2317" s="82" customFormat="1" x14ac:dyDescent="0.25"/>
    <row r="2318" s="82" customFormat="1" x14ac:dyDescent="0.25"/>
    <row r="2319" s="82" customFormat="1" x14ac:dyDescent="0.25"/>
    <row r="2320" s="82" customFormat="1" x14ac:dyDescent="0.25"/>
    <row r="2321" s="82" customFormat="1" x14ac:dyDescent="0.25"/>
    <row r="2322" s="82" customFormat="1" x14ac:dyDescent="0.25"/>
    <row r="2323" s="82" customFormat="1" x14ac:dyDescent="0.25"/>
    <row r="2324" s="82" customFormat="1" x14ac:dyDescent="0.25"/>
    <row r="2325" s="82" customFormat="1" x14ac:dyDescent="0.25"/>
    <row r="2326" s="82" customFormat="1" x14ac:dyDescent="0.25"/>
    <row r="2327" s="82" customFormat="1" x14ac:dyDescent="0.25"/>
    <row r="2328" s="82" customFormat="1" x14ac:dyDescent="0.25"/>
    <row r="2329" s="82" customFormat="1" x14ac:dyDescent="0.25"/>
    <row r="2330" s="82" customFormat="1" x14ac:dyDescent="0.25"/>
    <row r="2331" s="82" customFormat="1" x14ac:dyDescent="0.25"/>
    <row r="2332" s="82" customFormat="1" x14ac:dyDescent="0.25"/>
    <row r="2333" s="82" customFormat="1" x14ac:dyDescent="0.25"/>
    <row r="2334" s="82" customFormat="1" x14ac:dyDescent="0.25"/>
    <row r="2335" s="82" customFormat="1" x14ac:dyDescent="0.25"/>
    <row r="2336" s="82" customFormat="1" x14ac:dyDescent="0.25"/>
    <row r="2337" s="82" customFormat="1" x14ac:dyDescent="0.25"/>
    <row r="2338" s="82" customFormat="1" x14ac:dyDescent="0.25"/>
    <row r="2339" s="82" customFormat="1" x14ac:dyDescent="0.25"/>
    <row r="2340" s="82" customFormat="1" x14ac:dyDescent="0.25"/>
    <row r="2341" s="82" customFormat="1" x14ac:dyDescent="0.25"/>
    <row r="2342" s="82" customFormat="1" x14ac:dyDescent="0.25"/>
    <row r="2343" s="82" customFormat="1" x14ac:dyDescent="0.25"/>
    <row r="2344" s="82" customFormat="1" x14ac:dyDescent="0.25"/>
    <row r="2345" s="82" customFormat="1" x14ac:dyDescent="0.25"/>
    <row r="2346" s="82" customFormat="1" x14ac:dyDescent="0.25"/>
    <row r="2347" s="82" customFormat="1" x14ac:dyDescent="0.25"/>
    <row r="2348" s="82" customFormat="1" x14ac:dyDescent="0.25"/>
    <row r="2349" s="82" customFormat="1" x14ac:dyDescent="0.25"/>
    <row r="2350" s="82" customFormat="1" x14ac:dyDescent="0.25"/>
    <row r="2351" s="82" customFormat="1" x14ac:dyDescent="0.25"/>
    <row r="2352" s="82" customFormat="1" x14ac:dyDescent="0.25"/>
    <row r="2353" s="82" customFormat="1" x14ac:dyDescent="0.25"/>
    <row r="2354" s="82" customFormat="1" x14ac:dyDescent="0.25"/>
    <row r="2355" s="82" customFormat="1" x14ac:dyDescent="0.25"/>
    <row r="2356" s="82" customFormat="1" x14ac:dyDescent="0.25"/>
    <row r="2357" s="82" customFormat="1" x14ac:dyDescent="0.25"/>
    <row r="2358" s="82" customFormat="1" x14ac:dyDescent="0.25"/>
    <row r="2359" s="82" customFormat="1" x14ac:dyDescent="0.25"/>
    <row r="2360" s="82" customFormat="1" x14ac:dyDescent="0.25"/>
    <row r="2361" s="82" customFormat="1" x14ac:dyDescent="0.25"/>
    <row r="2362" s="82" customFormat="1" x14ac:dyDescent="0.25"/>
    <row r="2363" s="82" customFormat="1" x14ac:dyDescent="0.25"/>
    <row r="2364" s="82" customFormat="1" x14ac:dyDescent="0.25"/>
    <row r="2365" s="82" customFormat="1" x14ac:dyDescent="0.25"/>
    <row r="2366" s="82" customFormat="1" x14ac:dyDescent="0.25"/>
    <row r="2367" s="82" customFormat="1" x14ac:dyDescent="0.25"/>
    <row r="2368" s="82" customFormat="1" x14ac:dyDescent="0.25"/>
    <row r="2369" s="82" customFormat="1" x14ac:dyDescent="0.25"/>
    <row r="2370" s="82" customFormat="1" x14ac:dyDescent="0.25"/>
    <row r="2371" s="82" customFormat="1" x14ac:dyDescent="0.25"/>
    <row r="2372" s="82" customFormat="1" x14ac:dyDescent="0.25"/>
    <row r="2373" s="82" customFormat="1" x14ac:dyDescent="0.25"/>
    <row r="2374" s="82" customFormat="1" x14ac:dyDescent="0.25"/>
    <row r="2375" s="82" customFormat="1" x14ac:dyDescent="0.25"/>
    <row r="2376" s="82" customFormat="1" x14ac:dyDescent="0.25"/>
    <row r="2377" s="82" customFormat="1" x14ac:dyDescent="0.25"/>
    <row r="2378" s="82" customFormat="1" x14ac:dyDescent="0.25"/>
    <row r="2379" s="82" customFormat="1" x14ac:dyDescent="0.25"/>
    <row r="2380" s="82" customFormat="1" x14ac:dyDescent="0.25"/>
    <row r="2381" s="82" customFormat="1" x14ac:dyDescent="0.25"/>
    <row r="2382" s="82" customFormat="1" x14ac:dyDescent="0.25"/>
    <row r="2383" s="82" customFormat="1" x14ac:dyDescent="0.25"/>
    <row r="2384" s="82" customFormat="1" x14ac:dyDescent="0.25"/>
    <row r="2385" s="82" customFormat="1" x14ac:dyDescent="0.25"/>
    <row r="2386" s="82" customFormat="1" x14ac:dyDescent="0.25"/>
    <row r="2387" s="82" customFormat="1" x14ac:dyDescent="0.25"/>
    <row r="2388" s="82" customFormat="1" x14ac:dyDescent="0.25"/>
    <row r="2389" s="82" customFormat="1" x14ac:dyDescent="0.25"/>
    <row r="2390" s="82" customFormat="1" x14ac:dyDescent="0.25"/>
    <row r="2391" s="82" customFormat="1" x14ac:dyDescent="0.25"/>
    <row r="2392" s="82" customFormat="1" x14ac:dyDescent="0.25"/>
    <row r="2393" s="82" customFormat="1" x14ac:dyDescent="0.25"/>
    <row r="2394" s="82" customFormat="1" x14ac:dyDescent="0.25"/>
    <row r="2395" s="82" customFormat="1" x14ac:dyDescent="0.25"/>
    <row r="2396" s="82" customFormat="1" x14ac:dyDescent="0.25"/>
    <row r="2397" s="82" customFormat="1" x14ac:dyDescent="0.25"/>
    <row r="2398" s="82" customFormat="1" x14ac:dyDescent="0.25"/>
    <row r="2399" s="82" customFormat="1" x14ac:dyDescent="0.25"/>
    <row r="2400" s="82" customFormat="1" x14ac:dyDescent="0.25"/>
    <row r="2401" s="82" customFormat="1" x14ac:dyDescent="0.25"/>
    <row r="2402" s="82" customFormat="1" x14ac:dyDescent="0.25"/>
    <row r="2403" s="82" customFormat="1" x14ac:dyDescent="0.25"/>
    <row r="2404" s="82" customFormat="1" x14ac:dyDescent="0.25"/>
    <row r="2405" s="82" customFormat="1" x14ac:dyDescent="0.25"/>
    <row r="2406" s="82" customFormat="1" x14ac:dyDescent="0.25"/>
    <row r="2407" s="82" customFormat="1" x14ac:dyDescent="0.25"/>
    <row r="2408" s="82" customFormat="1" x14ac:dyDescent="0.25"/>
    <row r="2409" s="82" customFormat="1" x14ac:dyDescent="0.25"/>
    <row r="2410" s="82" customFormat="1" x14ac:dyDescent="0.25"/>
    <row r="2411" s="82" customFormat="1" x14ac:dyDescent="0.25"/>
    <row r="2412" s="82" customFormat="1" x14ac:dyDescent="0.25"/>
    <row r="2413" s="82" customFormat="1" x14ac:dyDescent="0.25"/>
    <row r="2414" s="82" customFormat="1" x14ac:dyDescent="0.25"/>
    <row r="2415" s="82" customFormat="1" x14ac:dyDescent="0.25"/>
    <row r="2416" s="82" customFormat="1" x14ac:dyDescent="0.25"/>
    <row r="2417" s="82" customFormat="1" x14ac:dyDescent="0.25"/>
    <row r="2418" s="82" customFormat="1" x14ac:dyDescent="0.25"/>
    <row r="2419" s="82" customFormat="1" x14ac:dyDescent="0.25"/>
    <row r="2420" s="82" customFormat="1" x14ac:dyDescent="0.25"/>
    <row r="2421" s="82" customFormat="1" x14ac:dyDescent="0.25"/>
    <row r="2422" s="82" customFormat="1" x14ac:dyDescent="0.25"/>
    <row r="2423" s="82" customFormat="1" x14ac:dyDescent="0.25"/>
    <row r="2424" s="82" customFormat="1" x14ac:dyDescent="0.25"/>
    <row r="2425" s="82" customFormat="1" x14ac:dyDescent="0.25"/>
    <row r="2426" s="82" customFormat="1" x14ac:dyDescent="0.25"/>
    <row r="2427" s="82" customFormat="1" x14ac:dyDescent="0.25"/>
    <row r="2428" s="82" customFormat="1" x14ac:dyDescent="0.25"/>
    <row r="2429" s="82" customFormat="1" x14ac:dyDescent="0.25"/>
    <row r="2430" s="82" customFormat="1" x14ac:dyDescent="0.25"/>
    <row r="2431" s="82" customFormat="1" x14ac:dyDescent="0.25"/>
    <row r="2432" s="82" customFormat="1" x14ac:dyDescent="0.25"/>
    <row r="2433" s="82" customFormat="1" x14ac:dyDescent="0.25"/>
    <row r="2434" s="82" customFormat="1" x14ac:dyDescent="0.25"/>
    <row r="2435" s="82" customFormat="1" x14ac:dyDescent="0.25"/>
    <row r="2436" s="82" customFormat="1" x14ac:dyDescent="0.25"/>
    <row r="2437" s="82" customFormat="1" x14ac:dyDescent="0.25"/>
    <row r="2438" s="82" customFormat="1" x14ac:dyDescent="0.25"/>
    <row r="2439" s="82" customFormat="1" x14ac:dyDescent="0.25"/>
    <row r="2440" s="82" customFormat="1" x14ac:dyDescent="0.25"/>
    <row r="2441" s="82" customFormat="1" x14ac:dyDescent="0.25"/>
    <row r="2442" s="82" customFormat="1" x14ac:dyDescent="0.25"/>
    <row r="2443" s="82" customFormat="1" x14ac:dyDescent="0.25"/>
    <row r="2444" s="82" customFormat="1" x14ac:dyDescent="0.25"/>
    <row r="2445" s="82" customFormat="1" x14ac:dyDescent="0.25"/>
    <row r="2446" s="82" customFormat="1" x14ac:dyDescent="0.25"/>
    <row r="2447" s="82" customFormat="1" x14ac:dyDescent="0.25"/>
    <row r="2448" s="82" customFormat="1" x14ac:dyDescent="0.25"/>
    <row r="2449" s="82" customFormat="1" x14ac:dyDescent="0.25"/>
    <row r="2450" s="82" customFormat="1" x14ac:dyDescent="0.25"/>
    <row r="2451" s="82" customFormat="1" x14ac:dyDescent="0.25"/>
    <row r="2452" s="82" customFormat="1" x14ac:dyDescent="0.25"/>
    <row r="2453" s="82" customFormat="1" x14ac:dyDescent="0.25"/>
    <row r="2454" s="82" customFormat="1" x14ac:dyDescent="0.25"/>
    <row r="2455" s="82" customFormat="1" x14ac:dyDescent="0.25"/>
    <row r="2456" s="82" customFormat="1" x14ac:dyDescent="0.25"/>
    <row r="2457" s="82" customFormat="1" x14ac:dyDescent="0.25"/>
    <row r="2458" s="82" customFormat="1" x14ac:dyDescent="0.25"/>
    <row r="2459" s="82" customFormat="1" x14ac:dyDescent="0.25"/>
    <row r="2460" s="82" customFormat="1" x14ac:dyDescent="0.25"/>
    <row r="2461" s="82" customFormat="1" x14ac:dyDescent="0.25"/>
    <row r="2462" s="82" customFormat="1" x14ac:dyDescent="0.25"/>
    <row r="2463" s="82" customFormat="1" x14ac:dyDescent="0.25"/>
    <row r="2464" s="82" customFormat="1" x14ac:dyDescent="0.25"/>
    <row r="2465" s="82" customFormat="1" x14ac:dyDescent="0.25"/>
    <row r="2466" s="82" customFormat="1" x14ac:dyDescent="0.25"/>
    <row r="2467" s="82" customFormat="1" x14ac:dyDescent="0.25"/>
    <row r="2468" s="82" customFormat="1" x14ac:dyDescent="0.25"/>
    <row r="2469" s="82" customFormat="1" x14ac:dyDescent="0.25"/>
    <row r="2470" s="82" customFormat="1" x14ac:dyDescent="0.25"/>
    <row r="2471" s="82" customFormat="1" x14ac:dyDescent="0.25"/>
    <row r="2472" s="82" customFormat="1" x14ac:dyDescent="0.25"/>
    <row r="2473" s="82" customFormat="1" x14ac:dyDescent="0.25"/>
    <row r="2474" s="82" customFormat="1" x14ac:dyDescent="0.25"/>
    <row r="2475" s="82" customFormat="1" x14ac:dyDescent="0.25"/>
    <row r="2476" s="82" customFormat="1" x14ac:dyDescent="0.25"/>
    <row r="2477" s="82" customFormat="1" x14ac:dyDescent="0.25"/>
    <row r="2478" s="82" customFormat="1" x14ac:dyDescent="0.25"/>
    <row r="2479" s="82" customFormat="1" x14ac:dyDescent="0.25"/>
    <row r="2480" s="82" customFormat="1" x14ac:dyDescent="0.25"/>
    <row r="2481" s="82" customFormat="1" x14ac:dyDescent="0.25"/>
    <row r="2482" s="82" customFormat="1" x14ac:dyDescent="0.25"/>
    <row r="2483" s="82" customFormat="1" x14ac:dyDescent="0.25"/>
    <row r="2484" s="82" customFormat="1" x14ac:dyDescent="0.25"/>
    <row r="2485" s="82" customFormat="1" x14ac:dyDescent="0.25"/>
    <row r="2486" s="82" customFormat="1" x14ac:dyDescent="0.25"/>
    <row r="2487" s="82" customFormat="1" x14ac:dyDescent="0.25"/>
    <row r="2488" s="82" customFormat="1" x14ac:dyDescent="0.25"/>
    <row r="2489" s="82" customFormat="1" x14ac:dyDescent="0.25"/>
    <row r="2490" s="82" customFormat="1" x14ac:dyDescent="0.25"/>
    <row r="2491" s="82" customFormat="1" x14ac:dyDescent="0.25"/>
    <row r="2492" s="82" customFormat="1" x14ac:dyDescent="0.25"/>
    <row r="2493" s="82" customFormat="1" x14ac:dyDescent="0.25"/>
    <row r="2494" s="82" customFormat="1" x14ac:dyDescent="0.25"/>
    <row r="2495" s="82" customFormat="1" x14ac:dyDescent="0.25"/>
    <row r="2496" s="82" customFormat="1" x14ac:dyDescent="0.25"/>
    <row r="2497" s="82" customFormat="1" x14ac:dyDescent="0.25"/>
    <row r="2498" s="82" customFormat="1" x14ac:dyDescent="0.25"/>
    <row r="2499" s="82" customFormat="1" x14ac:dyDescent="0.25"/>
    <row r="2500" s="82" customFormat="1" x14ac:dyDescent="0.25"/>
    <row r="2501" s="82" customFormat="1" x14ac:dyDescent="0.25"/>
    <row r="2502" s="82" customFormat="1" x14ac:dyDescent="0.25"/>
    <row r="2503" s="82" customFormat="1" x14ac:dyDescent="0.25"/>
    <row r="2504" s="82" customFormat="1" x14ac:dyDescent="0.25"/>
    <row r="2505" s="82" customFormat="1" x14ac:dyDescent="0.25"/>
    <row r="2506" s="82" customFormat="1" x14ac:dyDescent="0.25"/>
    <row r="2507" s="82" customFormat="1" x14ac:dyDescent="0.25"/>
    <row r="2508" s="82" customFormat="1" x14ac:dyDescent="0.25"/>
    <row r="2509" s="82" customFormat="1" x14ac:dyDescent="0.25"/>
    <row r="2510" s="82" customFormat="1" x14ac:dyDescent="0.25"/>
    <row r="2511" s="82" customFormat="1" x14ac:dyDescent="0.25"/>
    <row r="2512" s="82" customFormat="1" x14ac:dyDescent="0.25"/>
    <row r="2513" s="82" customFormat="1" x14ac:dyDescent="0.25"/>
    <row r="2514" s="82" customFormat="1" x14ac:dyDescent="0.25"/>
    <row r="2515" s="82" customFormat="1" x14ac:dyDescent="0.25"/>
    <row r="2516" s="82" customFormat="1" x14ac:dyDescent="0.25"/>
    <row r="2517" s="82" customFormat="1" x14ac:dyDescent="0.25"/>
    <row r="2518" s="82" customFormat="1" x14ac:dyDescent="0.25"/>
    <row r="2519" s="82" customFormat="1" x14ac:dyDescent="0.25"/>
    <row r="2520" s="82" customFormat="1" x14ac:dyDescent="0.25"/>
    <row r="2521" s="82" customFormat="1" x14ac:dyDescent="0.25"/>
    <row r="2522" s="82" customFormat="1" x14ac:dyDescent="0.25"/>
    <row r="2523" s="82" customFormat="1" x14ac:dyDescent="0.25"/>
    <row r="2524" s="82" customFormat="1" x14ac:dyDescent="0.25"/>
    <row r="2525" s="82" customFormat="1" x14ac:dyDescent="0.25"/>
    <row r="2526" s="82" customFormat="1" x14ac:dyDescent="0.25"/>
    <row r="2527" s="82" customFormat="1" x14ac:dyDescent="0.25"/>
    <row r="2528" s="82" customFormat="1" x14ac:dyDescent="0.25"/>
    <row r="2529" s="82" customFormat="1" x14ac:dyDescent="0.25"/>
    <row r="2530" s="82" customFormat="1" x14ac:dyDescent="0.25"/>
    <row r="2531" s="82" customFormat="1" x14ac:dyDescent="0.25"/>
    <row r="2532" s="82" customFormat="1" x14ac:dyDescent="0.25"/>
    <row r="2533" s="82" customFormat="1" x14ac:dyDescent="0.25"/>
    <row r="2534" s="82" customFormat="1" x14ac:dyDescent="0.25"/>
    <row r="2535" s="82" customFormat="1" x14ac:dyDescent="0.25"/>
    <row r="2536" s="82" customFormat="1" x14ac:dyDescent="0.25"/>
    <row r="2537" s="82" customFormat="1" x14ac:dyDescent="0.25"/>
    <row r="2538" s="82" customFormat="1" x14ac:dyDescent="0.25"/>
    <row r="2539" s="82" customFormat="1" x14ac:dyDescent="0.25"/>
    <row r="2540" s="82" customFormat="1" x14ac:dyDescent="0.25"/>
    <row r="2541" s="82" customFormat="1" x14ac:dyDescent="0.25"/>
    <row r="2542" s="82" customFormat="1" x14ac:dyDescent="0.25"/>
    <row r="2543" s="82" customFormat="1" x14ac:dyDescent="0.25"/>
    <row r="2544" s="82" customFormat="1" x14ac:dyDescent="0.25"/>
    <row r="2545" s="82" customFormat="1" x14ac:dyDescent="0.25"/>
    <row r="2546" s="82" customFormat="1" x14ac:dyDescent="0.25"/>
    <row r="2547" s="82" customFormat="1" x14ac:dyDescent="0.25"/>
    <row r="2548" s="82" customFormat="1" x14ac:dyDescent="0.25"/>
    <row r="2549" s="82" customFormat="1" x14ac:dyDescent="0.25"/>
    <row r="2550" s="82" customFormat="1" x14ac:dyDescent="0.25"/>
    <row r="2551" s="82" customFormat="1" x14ac:dyDescent="0.25"/>
    <row r="2552" s="82" customFormat="1" x14ac:dyDescent="0.25"/>
    <row r="2553" s="82" customFormat="1" x14ac:dyDescent="0.25"/>
    <row r="2554" s="82" customFormat="1" x14ac:dyDescent="0.25"/>
    <row r="2555" s="82" customFormat="1" x14ac:dyDescent="0.25"/>
    <row r="2556" s="82" customFormat="1" x14ac:dyDescent="0.25"/>
    <row r="2557" s="82" customFormat="1" x14ac:dyDescent="0.25"/>
    <row r="2558" s="82" customFormat="1" x14ac:dyDescent="0.25"/>
    <row r="2559" s="82" customFormat="1" x14ac:dyDescent="0.25"/>
    <row r="2560" s="82" customFormat="1" x14ac:dyDescent="0.25"/>
    <row r="2561" s="82" customFormat="1" x14ac:dyDescent="0.25"/>
    <row r="2562" s="82" customFormat="1" x14ac:dyDescent="0.25"/>
    <row r="2563" s="82" customFormat="1" x14ac:dyDescent="0.25"/>
    <row r="2564" s="82" customFormat="1" x14ac:dyDescent="0.25"/>
    <row r="2565" s="82" customFormat="1" x14ac:dyDescent="0.25"/>
    <row r="2566" s="82" customFormat="1" x14ac:dyDescent="0.25"/>
    <row r="2567" s="82" customFormat="1" x14ac:dyDescent="0.25"/>
    <row r="2568" s="82" customFormat="1" x14ac:dyDescent="0.25"/>
    <row r="2569" s="82" customFormat="1" x14ac:dyDescent="0.25"/>
    <row r="2570" s="82" customFormat="1" x14ac:dyDescent="0.25"/>
    <row r="2571" s="82" customFormat="1" x14ac:dyDescent="0.25"/>
    <row r="2572" s="82" customFormat="1" x14ac:dyDescent="0.25"/>
    <row r="2573" s="82" customFormat="1" x14ac:dyDescent="0.25"/>
    <row r="2574" s="82" customFormat="1" x14ac:dyDescent="0.25"/>
    <row r="2575" s="82" customFormat="1" x14ac:dyDescent="0.25"/>
    <row r="2576" s="82" customFormat="1" x14ac:dyDescent="0.25"/>
    <row r="2577" s="82" customFormat="1" x14ac:dyDescent="0.25"/>
    <row r="2578" s="82" customFormat="1" x14ac:dyDescent="0.25"/>
    <row r="2579" s="82" customFormat="1" x14ac:dyDescent="0.25"/>
    <row r="2580" s="82" customFormat="1" x14ac:dyDescent="0.25"/>
    <row r="2581" s="82" customFormat="1" x14ac:dyDescent="0.25"/>
    <row r="2582" s="82" customFormat="1" x14ac:dyDescent="0.25"/>
    <row r="2583" s="82" customFormat="1" x14ac:dyDescent="0.25"/>
    <row r="2584" s="82" customFormat="1" x14ac:dyDescent="0.25"/>
    <row r="2585" s="82" customFormat="1" x14ac:dyDescent="0.25"/>
    <row r="2586" s="82" customFormat="1" x14ac:dyDescent="0.25"/>
    <row r="2587" s="82" customFormat="1" x14ac:dyDescent="0.25"/>
    <row r="2588" s="82" customFormat="1" x14ac:dyDescent="0.25"/>
    <row r="2589" s="82" customFormat="1" x14ac:dyDescent="0.25"/>
    <row r="2590" s="82" customFormat="1" x14ac:dyDescent="0.25"/>
    <row r="2591" s="82" customFormat="1" x14ac:dyDescent="0.25"/>
    <row r="2592" s="82" customFormat="1" x14ac:dyDescent="0.25"/>
    <row r="2593" s="82" customFormat="1" x14ac:dyDescent="0.25"/>
    <row r="2594" s="82" customFormat="1" x14ac:dyDescent="0.25"/>
    <row r="2595" s="82" customFormat="1" x14ac:dyDescent="0.25"/>
    <row r="2596" s="82" customFormat="1" x14ac:dyDescent="0.25"/>
    <row r="2597" s="82" customFormat="1" x14ac:dyDescent="0.25"/>
    <row r="2598" s="82" customFormat="1" x14ac:dyDescent="0.25"/>
    <row r="2599" s="82" customFormat="1" x14ac:dyDescent="0.25"/>
    <row r="2600" s="82" customFormat="1" x14ac:dyDescent="0.25"/>
    <row r="2601" s="82" customFormat="1" x14ac:dyDescent="0.25"/>
    <row r="2602" s="82" customFormat="1" x14ac:dyDescent="0.25"/>
    <row r="2603" s="82" customFormat="1" x14ac:dyDescent="0.25"/>
    <row r="2604" s="82" customFormat="1" x14ac:dyDescent="0.25"/>
    <row r="2605" s="82" customFormat="1" x14ac:dyDescent="0.25"/>
    <row r="2606" s="82" customFormat="1" x14ac:dyDescent="0.25"/>
    <row r="2607" s="82" customFormat="1" x14ac:dyDescent="0.25"/>
    <row r="2608" s="82" customFormat="1" x14ac:dyDescent="0.25"/>
    <row r="2609" s="82" customFormat="1" x14ac:dyDescent="0.25"/>
    <row r="2610" s="82" customFormat="1" x14ac:dyDescent="0.25"/>
    <row r="2611" s="82" customFormat="1" x14ac:dyDescent="0.25"/>
    <row r="2612" s="82" customFormat="1" x14ac:dyDescent="0.25"/>
    <row r="2613" s="82" customFormat="1" x14ac:dyDescent="0.25"/>
    <row r="2614" s="82" customFormat="1" x14ac:dyDescent="0.25"/>
    <row r="2615" s="82" customFormat="1" x14ac:dyDescent="0.25"/>
    <row r="2616" s="82" customFormat="1" x14ac:dyDescent="0.25"/>
    <row r="2617" s="82" customFormat="1" x14ac:dyDescent="0.25"/>
    <row r="2618" s="82" customFormat="1" x14ac:dyDescent="0.25"/>
    <row r="2619" s="82" customFormat="1" x14ac:dyDescent="0.25"/>
    <row r="2620" s="82" customFormat="1" x14ac:dyDescent="0.25"/>
    <row r="2621" s="82" customFormat="1" x14ac:dyDescent="0.25"/>
    <row r="2622" s="82" customFormat="1" x14ac:dyDescent="0.25"/>
    <row r="2623" s="82" customFormat="1" x14ac:dyDescent="0.25"/>
    <row r="2624" s="82" customFormat="1" x14ac:dyDescent="0.25"/>
    <row r="2625" s="82" customFormat="1" x14ac:dyDescent="0.25"/>
    <row r="2626" s="82" customFormat="1" x14ac:dyDescent="0.25"/>
    <row r="2627" s="82" customFormat="1" x14ac:dyDescent="0.25"/>
    <row r="2628" s="82" customFormat="1" x14ac:dyDescent="0.25"/>
    <row r="2629" s="82" customFormat="1" x14ac:dyDescent="0.25"/>
    <row r="2630" s="82" customFormat="1" x14ac:dyDescent="0.25"/>
    <row r="2631" s="82" customFormat="1" x14ac:dyDescent="0.25"/>
    <row r="2632" s="82" customFormat="1" x14ac:dyDescent="0.25"/>
    <row r="2633" s="82" customFormat="1" x14ac:dyDescent="0.25"/>
    <row r="2634" s="82" customFormat="1" x14ac:dyDescent="0.25"/>
    <row r="2635" s="82" customFormat="1" x14ac:dyDescent="0.25"/>
    <row r="2636" s="82" customFormat="1" x14ac:dyDescent="0.25"/>
    <row r="2637" s="82" customFormat="1" x14ac:dyDescent="0.25"/>
    <row r="2638" s="82" customFormat="1" x14ac:dyDescent="0.25"/>
    <row r="2639" s="82" customFormat="1" x14ac:dyDescent="0.25"/>
    <row r="2640" s="82" customFormat="1" x14ac:dyDescent="0.25"/>
    <row r="2641" s="82" customFormat="1" x14ac:dyDescent="0.25"/>
    <row r="2642" s="82" customFormat="1" x14ac:dyDescent="0.25"/>
    <row r="2643" s="82" customFormat="1" x14ac:dyDescent="0.25"/>
    <row r="2644" s="82" customFormat="1" x14ac:dyDescent="0.25"/>
    <row r="2645" s="82" customFormat="1" x14ac:dyDescent="0.25"/>
    <row r="2646" s="82" customFormat="1" x14ac:dyDescent="0.25"/>
    <row r="2647" s="82" customFormat="1" x14ac:dyDescent="0.25"/>
    <row r="2648" s="82" customFormat="1" x14ac:dyDescent="0.25"/>
    <row r="2649" s="82" customFormat="1" x14ac:dyDescent="0.25"/>
    <row r="2650" s="82" customFormat="1" x14ac:dyDescent="0.25"/>
    <row r="2651" s="82" customFormat="1" x14ac:dyDescent="0.25"/>
    <row r="2652" s="82" customFormat="1" x14ac:dyDescent="0.25"/>
    <row r="2653" s="82" customFormat="1" x14ac:dyDescent="0.25"/>
    <row r="2654" s="82" customFormat="1" x14ac:dyDescent="0.25"/>
    <row r="2655" s="82" customFormat="1" x14ac:dyDescent="0.25"/>
    <row r="2656" s="82" customFormat="1" x14ac:dyDescent="0.25"/>
    <row r="2657" s="82" customFormat="1" x14ac:dyDescent="0.25"/>
    <row r="2658" s="82" customFormat="1" x14ac:dyDescent="0.25"/>
    <row r="2659" s="82" customFormat="1" x14ac:dyDescent="0.25"/>
    <row r="2660" s="82" customFormat="1" x14ac:dyDescent="0.25"/>
    <row r="2661" s="82" customFormat="1" x14ac:dyDescent="0.25"/>
    <row r="2662" s="82" customFormat="1" x14ac:dyDescent="0.25"/>
    <row r="2663" s="82" customFormat="1" x14ac:dyDescent="0.25"/>
    <row r="2664" s="82" customFormat="1" x14ac:dyDescent="0.25"/>
    <row r="2665" s="82" customFormat="1" x14ac:dyDescent="0.25"/>
    <row r="2666" s="82" customFormat="1" x14ac:dyDescent="0.25"/>
    <row r="2667" s="82" customFormat="1" x14ac:dyDescent="0.25"/>
    <row r="2668" s="82" customFormat="1" x14ac:dyDescent="0.25"/>
    <row r="2669" s="82" customFormat="1" x14ac:dyDescent="0.25"/>
    <row r="2670" s="82" customFormat="1" x14ac:dyDescent="0.25"/>
    <row r="2671" s="82" customFormat="1" x14ac:dyDescent="0.25"/>
    <row r="2672" s="82" customFormat="1" x14ac:dyDescent="0.25"/>
    <row r="2673" s="82" customFormat="1" x14ac:dyDescent="0.25"/>
    <row r="2674" s="82" customFormat="1" x14ac:dyDescent="0.25"/>
    <row r="2675" s="82" customFormat="1" x14ac:dyDescent="0.25"/>
    <row r="2676" s="82" customFormat="1" x14ac:dyDescent="0.25"/>
    <row r="2677" s="82" customFormat="1" x14ac:dyDescent="0.25"/>
    <row r="2678" s="82" customFormat="1" x14ac:dyDescent="0.25"/>
    <row r="2679" s="82" customFormat="1" x14ac:dyDescent="0.25"/>
    <row r="2680" s="82" customFormat="1" x14ac:dyDescent="0.25"/>
    <row r="2681" s="82" customFormat="1" x14ac:dyDescent="0.25"/>
    <row r="2682" s="82" customFormat="1" x14ac:dyDescent="0.25"/>
    <row r="2683" s="82" customFormat="1" x14ac:dyDescent="0.25"/>
    <row r="2684" s="82" customFormat="1" x14ac:dyDescent="0.25"/>
    <row r="2685" s="82" customFormat="1" x14ac:dyDescent="0.25"/>
    <row r="2686" s="82" customFormat="1" x14ac:dyDescent="0.25"/>
    <row r="2687" s="82" customFormat="1" x14ac:dyDescent="0.25"/>
    <row r="2688" s="82" customFormat="1" x14ac:dyDescent="0.25"/>
    <row r="2689" s="82" customFormat="1" x14ac:dyDescent="0.25"/>
    <row r="2690" s="82" customFormat="1" x14ac:dyDescent="0.25"/>
    <row r="2691" s="82" customFormat="1" x14ac:dyDescent="0.25"/>
    <row r="2692" s="82" customFormat="1" x14ac:dyDescent="0.25"/>
    <row r="2693" s="82" customFormat="1" x14ac:dyDescent="0.25"/>
    <row r="2694" s="82" customFormat="1" x14ac:dyDescent="0.25"/>
    <row r="2695" s="82" customFormat="1" x14ac:dyDescent="0.25"/>
    <row r="2696" s="82" customFormat="1" x14ac:dyDescent="0.25"/>
    <row r="2697" s="82" customFormat="1" x14ac:dyDescent="0.25"/>
    <row r="2698" s="82" customFormat="1" x14ac:dyDescent="0.25"/>
    <row r="2699" s="82" customFormat="1" x14ac:dyDescent="0.25"/>
    <row r="2700" s="82" customFormat="1" x14ac:dyDescent="0.25"/>
    <row r="2701" s="82" customFormat="1" x14ac:dyDescent="0.25"/>
    <row r="2702" s="82" customFormat="1" x14ac:dyDescent="0.25"/>
    <row r="2703" s="82" customFormat="1" x14ac:dyDescent="0.25"/>
    <row r="2704" s="82" customFormat="1" x14ac:dyDescent="0.25"/>
    <row r="2705" s="82" customFormat="1" x14ac:dyDescent="0.25"/>
    <row r="2706" s="82" customFormat="1" x14ac:dyDescent="0.25"/>
    <row r="2707" s="82" customFormat="1" x14ac:dyDescent="0.25"/>
    <row r="2708" s="82" customFormat="1" x14ac:dyDescent="0.25"/>
    <row r="2709" s="82" customFormat="1" x14ac:dyDescent="0.25"/>
    <row r="2710" s="82" customFormat="1" x14ac:dyDescent="0.25"/>
    <row r="2711" s="82" customFormat="1" x14ac:dyDescent="0.25"/>
    <row r="2712" s="82" customFormat="1" x14ac:dyDescent="0.25"/>
    <row r="2713" s="82" customFormat="1" x14ac:dyDescent="0.25"/>
    <row r="2714" s="82" customFormat="1" x14ac:dyDescent="0.25"/>
    <row r="2715" s="82" customFormat="1" x14ac:dyDescent="0.25"/>
    <row r="2716" s="82" customFormat="1" x14ac:dyDescent="0.25"/>
    <row r="2717" s="82" customFormat="1" x14ac:dyDescent="0.25"/>
    <row r="2718" s="82" customFormat="1" x14ac:dyDescent="0.25"/>
    <row r="2719" s="82" customFormat="1" x14ac:dyDescent="0.25"/>
    <row r="2720" s="82" customFormat="1" x14ac:dyDescent="0.25"/>
    <row r="2721" s="82" customFormat="1" x14ac:dyDescent="0.25"/>
    <row r="2722" s="82" customFormat="1" x14ac:dyDescent="0.25"/>
    <row r="2723" s="82" customFormat="1" x14ac:dyDescent="0.25"/>
    <row r="2724" s="82" customFormat="1" x14ac:dyDescent="0.25"/>
    <row r="2725" s="82" customFormat="1" x14ac:dyDescent="0.25"/>
    <row r="2726" s="82" customFormat="1" x14ac:dyDescent="0.25"/>
    <row r="2727" s="82" customFormat="1" x14ac:dyDescent="0.25"/>
    <row r="2728" s="82" customFormat="1" x14ac:dyDescent="0.25"/>
    <row r="2729" s="82" customFormat="1" x14ac:dyDescent="0.25"/>
    <row r="2730" s="82" customFormat="1" x14ac:dyDescent="0.25"/>
    <row r="2731" s="82" customFormat="1" x14ac:dyDescent="0.25"/>
    <row r="2732" s="82" customFormat="1" x14ac:dyDescent="0.25"/>
    <row r="2733" s="82" customFormat="1" x14ac:dyDescent="0.25"/>
    <row r="2734" s="82" customFormat="1" x14ac:dyDescent="0.25"/>
    <row r="2735" s="82" customFormat="1" x14ac:dyDescent="0.25"/>
    <row r="2736" s="82" customFormat="1" x14ac:dyDescent="0.25"/>
    <row r="2737" s="82" customFormat="1" x14ac:dyDescent="0.25"/>
    <row r="2738" s="82" customFormat="1" x14ac:dyDescent="0.25"/>
    <row r="2739" s="82" customFormat="1" x14ac:dyDescent="0.25"/>
    <row r="2740" s="82" customFormat="1" x14ac:dyDescent="0.25"/>
    <row r="2741" s="82" customFormat="1" x14ac:dyDescent="0.25"/>
    <row r="2742" s="82" customFormat="1" x14ac:dyDescent="0.25"/>
    <row r="2743" s="82" customFormat="1" x14ac:dyDescent="0.25"/>
    <row r="2744" s="82" customFormat="1" x14ac:dyDescent="0.25"/>
    <row r="2745" s="82" customFormat="1" x14ac:dyDescent="0.25"/>
    <row r="2746" s="82" customFormat="1" x14ac:dyDescent="0.25"/>
    <row r="2747" s="82" customFormat="1" x14ac:dyDescent="0.25"/>
    <row r="2748" s="82" customFormat="1" x14ac:dyDescent="0.25"/>
    <row r="2749" s="82" customFormat="1" x14ac:dyDescent="0.25"/>
    <row r="2750" s="82" customFormat="1" x14ac:dyDescent="0.25"/>
    <row r="2751" s="82" customFormat="1" x14ac:dyDescent="0.25"/>
    <row r="2752" s="82" customFormat="1" x14ac:dyDescent="0.25"/>
    <row r="2753" s="82" customFormat="1" x14ac:dyDescent="0.25"/>
    <row r="2754" s="82" customFormat="1" x14ac:dyDescent="0.25"/>
    <row r="2755" s="82" customFormat="1" x14ac:dyDescent="0.25"/>
    <row r="2756" s="82" customFormat="1" x14ac:dyDescent="0.25"/>
    <row r="2757" s="82" customFormat="1" x14ac:dyDescent="0.25"/>
    <row r="2758" s="82" customFormat="1" x14ac:dyDescent="0.25"/>
    <row r="2759" s="82" customFormat="1" x14ac:dyDescent="0.25"/>
    <row r="2760" s="82" customFormat="1" x14ac:dyDescent="0.25"/>
    <row r="2761" s="82" customFormat="1" x14ac:dyDescent="0.25"/>
    <row r="2762" s="82" customFormat="1" x14ac:dyDescent="0.25"/>
    <row r="2763" s="82" customFormat="1" x14ac:dyDescent="0.25"/>
    <row r="2764" s="82" customFormat="1" x14ac:dyDescent="0.25"/>
    <row r="2765" s="82" customFormat="1" x14ac:dyDescent="0.25"/>
    <row r="2766" s="82" customFormat="1" x14ac:dyDescent="0.25"/>
    <row r="2767" s="82" customFormat="1" x14ac:dyDescent="0.25"/>
    <row r="2768" s="82" customFormat="1" x14ac:dyDescent="0.25"/>
    <row r="2769" s="82" customFormat="1" x14ac:dyDescent="0.25"/>
    <row r="2770" s="82" customFormat="1" x14ac:dyDescent="0.25"/>
    <row r="2771" s="82" customFormat="1" x14ac:dyDescent="0.25"/>
    <row r="2772" s="82" customFormat="1" x14ac:dyDescent="0.25"/>
    <row r="2773" s="82" customFormat="1" x14ac:dyDescent="0.25"/>
    <row r="2774" s="82" customFormat="1" x14ac:dyDescent="0.25"/>
    <row r="2775" s="82" customFormat="1" x14ac:dyDescent="0.25"/>
    <row r="2776" s="82" customFormat="1" x14ac:dyDescent="0.25"/>
    <row r="2777" s="82" customFormat="1" x14ac:dyDescent="0.25"/>
    <row r="2778" s="82" customFormat="1" x14ac:dyDescent="0.25"/>
    <row r="2779" s="82" customFormat="1" x14ac:dyDescent="0.25"/>
    <row r="2780" s="82" customFormat="1" x14ac:dyDescent="0.25"/>
    <row r="2781" s="82" customFormat="1" x14ac:dyDescent="0.25"/>
    <row r="2782" s="82" customFormat="1" x14ac:dyDescent="0.25"/>
    <row r="2783" s="82" customFormat="1" x14ac:dyDescent="0.25"/>
    <row r="2784" s="82" customFormat="1" x14ac:dyDescent="0.25"/>
    <row r="2785" s="82" customFormat="1" x14ac:dyDescent="0.25"/>
    <row r="2786" s="82" customFormat="1" x14ac:dyDescent="0.25"/>
    <row r="2787" s="82" customFormat="1" x14ac:dyDescent="0.25"/>
    <row r="2788" s="82" customFormat="1" x14ac:dyDescent="0.25"/>
    <row r="2789" s="82" customFormat="1" x14ac:dyDescent="0.25"/>
    <row r="2790" s="82" customFormat="1" x14ac:dyDescent="0.25"/>
    <row r="2791" s="82" customFormat="1" x14ac:dyDescent="0.25"/>
    <row r="2792" s="82" customFormat="1" x14ac:dyDescent="0.25"/>
    <row r="2793" s="82" customFormat="1" x14ac:dyDescent="0.25"/>
    <row r="2794" s="82" customFormat="1" x14ac:dyDescent="0.25"/>
    <row r="2795" s="82" customFormat="1" x14ac:dyDescent="0.25"/>
    <row r="2796" s="82" customFormat="1" x14ac:dyDescent="0.25"/>
    <row r="2797" s="82" customFormat="1" x14ac:dyDescent="0.25"/>
    <row r="2798" s="82" customFormat="1" x14ac:dyDescent="0.25"/>
    <row r="2799" s="82" customFormat="1" x14ac:dyDescent="0.25"/>
    <row r="2800" s="82" customFormat="1" x14ac:dyDescent="0.25"/>
    <row r="2801" s="82" customFormat="1" x14ac:dyDescent="0.25"/>
    <row r="2802" s="82" customFormat="1" x14ac:dyDescent="0.25"/>
    <row r="2803" s="82" customFormat="1" x14ac:dyDescent="0.25"/>
    <row r="2804" s="82" customFormat="1" x14ac:dyDescent="0.25"/>
    <row r="2805" s="82" customFormat="1" x14ac:dyDescent="0.25"/>
    <row r="2806" s="82" customFormat="1" x14ac:dyDescent="0.25"/>
    <row r="2807" s="82" customFormat="1" x14ac:dyDescent="0.25"/>
    <row r="2808" s="82" customFormat="1" x14ac:dyDescent="0.25"/>
    <row r="2809" s="82" customFormat="1" x14ac:dyDescent="0.25"/>
    <row r="2810" s="82" customFormat="1" x14ac:dyDescent="0.25"/>
    <row r="2811" s="82" customFormat="1" x14ac:dyDescent="0.25"/>
    <row r="2812" s="82" customFormat="1" x14ac:dyDescent="0.25"/>
    <row r="2813" s="82" customFormat="1" x14ac:dyDescent="0.25"/>
    <row r="2814" s="82" customFormat="1" x14ac:dyDescent="0.25"/>
    <row r="2815" s="82" customFormat="1" x14ac:dyDescent="0.25"/>
    <row r="2816" s="82" customFormat="1" x14ac:dyDescent="0.25"/>
    <row r="2817" s="82" customFormat="1" x14ac:dyDescent="0.25"/>
    <row r="2818" s="82" customFormat="1" x14ac:dyDescent="0.25"/>
    <row r="2819" s="82" customFormat="1" x14ac:dyDescent="0.25"/>
    <row r="2820" s="82" customFormat="1" x14ac:dyDescent="0.25"/>
    <row r="2821" s="82" customFormat="1" x14ac:dyDescent="0.25"/>
    <row r="2822" s="82" customFormat="1" x14ac:dyDescent="0.25"/>
    <row r="2823" s="82" customFormat="1" x14ac:dyDescent="0.25"/>
    <row r="2824" s="82" customFormat="1" x14ac:dyDescent="0.25"/>
    <row r="2825" s="82" customFormat="1" x14ac:dyDescent="0.25"/>
    <row r="2826" s="82" customFormat="1" x14ac:dyDescent="0.25"/>
    <row r="2827" s="82" customFormat="1" x14ac:dyDescent="0.25"/>
    <row r="2828" s="82" customFormat="1" x14ac:dyDescent="0.25"/>
    <row r="2829" s="82" customFormat="1" x14ac:dyDescent="0.25"/>
    <row r="2830" s="82" customFormat="1" x14ac:dyDescent="0.25"/>
    <row r="2831" s="82" customFormat="1" x14ac:dyDescent="0.25"/>
    <row r="2832" s="82" customFormat="1" x14ac:dyDescent="0.25"/>
    <row r="2833" s="82" customFormat="1" x14ac:dyDescent="0.25"/>
    <row r="2834" s="82" customFormat="1" x14ac:dyDescent="0.25"/>
    <row r="2835" s="82" customFormat="1" x14ac:dyDescent="0.25"/>
    <row r="2836" s="82" customFormat="1" x14ac:dyDescent="0.25"/>
    <row r="2837" s="82" customFormat="1" x14ac:dyDescent="0.25"/>
    <row r="2838" s="82" customFormat="1" x14ac:dyDescent="0.25"/>
    <row r="2839" s="82" customFormat="1" x14ac:dyDescent="0.25"/>
    <row r="2840" s="82" customFormat="1" x14ac:dyDescent="0.25"/>
    <row r="2841" s="82" customFormat="1" x14ac:dyDescent="0.25"/>
    <row r="2842" s="82" customFormat="1" x14ac:dyDescent="0.25"/>
    <row r="2843" s="82" customFormat="1" x14ac:dyDescent="0.25"/>
    <row r="2844" s="82" customFormat="1" x14ac:dyDescent="0.25"/>
    <row r="2845" s="82" customFormat="1" x14ac:dyDescent="0.25"/>
    <row r="2846" s="82" customFormat="1" x14ac:dyDescent="0.25"/>
    <row r="2847" s="82" customFormat="1" x14ac:dyDescent="0.25"/>
    <row r="2848" s="82" customFormat="1" x14ac:dyDescent="0.25"/>
    <row r="2849" s="82" customFormat="1" x14ac:dyDescent="0.25"/>
    <row r="2850" s="82" customFormat="1" x14ac:dyDescent="0.25"/>
    <row r="2851" s="82" customFormat="1" x14ac:dyDescent="0.25"/>
    <row r="2852" s="82" customFormat="1" x14ac:dyDescent="0.25"/>
    <row r="2853" s="82" customFormat="1" x14ac:dyDescent="0.25"/>
    <row r="2854" s="82" customFormat="1" x14ac:dyDescent="0.25"/>
    <row r="2855" s="82" customFormat="1" x14ac:dyDescent="0.25"/>
    <row r="2856" s="82" customFormat="1" x14ac:dyDescent="0.25"/>
    <row r="2857" s="82" customFormat="1" x14ac:dyDescent="0.25"/>
    <row r="2858" s="82" customFormat="1" x14ac:dyDescent="0.25"/>
    <row r="2859" s="82" customFormat="1" x14ac:dyDescent="0.25"/>
    <row r="2860" s="82" customFormat="1" x14ac:dyDescent="0.25"/>
    <row r="2861" s="82" customFormat="1" x14ac:dyDescent="0.25"/>
    <row r="2862" s="82" customFormat="1" x14ac:dyDescent="0.25"/>
    <row r="2863" s="82" customFormat="1" x14ac:dyDescent="0.25"/>
    <row r="2864" s="82" customFormat="1" x14ac:dyDescent="0.25"/>
    <row r="2865" s="82" customFormat="1" x14ac:dyDescent="0.25"/>
    <row r="2866" s="82" customFormat="1" x14ac:dyDescent="0.25"/>
    <row r="2867" s="82" customFormat="1" x14ac:dyDescent="0.25"/>
    <row r="2868" s="82" customFormat="1" x14ac:dyDescent="0.25"/>
    <row r="2869" s="82" customFormat="1" x14ac:dyDescent="0.25"/>
    <row r="2870" s="82" customFormat="1" x14ac:dyDescent="0.25"/>
    <row r="2871" s="82" customFormat="1" x14ac:dyDescent="0.25"/>
    <row r="2872" s="82" customFormat="1" x14ac:dyDescent="0.25"/>
    <row r="2873" s="82" customFormat="1" x14ac:dyDescent="0.25"/>
    <row r="2874" s="82" customFormat="1" x14ac:dyDescent="0.25"/>
    <row r="2875" s="82" customFormat="1" x14ac:dyDescent="0.25"/>
    <row r="2876" s="82" customFormat="1" x14ac:dyDescent="0.25"/>
    <row r="2877" s="82" customFormat="1" x14ac:dyDescent="0.25"/>
    <row r="2878" s="82" customFormat="1" x14ac:dyDescent="0.25"/>
    <row r="2879" s="82" customFormat="1" x14ac:dyDescent="0.25"/>
    <row r="2880" s="82" customFormat="1" x14ac:dyDescent="0.25"/>
    <row r="2881" s="82" customFormat="1" x14ac:dyDescent="0.25"/>
    <row r="2882" s="82" customFormat="1" x14ac:dyDescent="0.25"/>
    <row r="2883" s="82" customFormat="1" x14ac:dyDescent="0.25"/>
    <row r="2884" s="82" customFormat="1" x14ac:dyDescent="0.25"/>
    <row r="2885" s="82" customFormat="1" x14ac:dyDescent="0.25"/>
    <row r="2886" s="82" customFormat="1" x14ac:dyDescent="0.25"/>
    <row r="2887" s="82" customFormat="1" x14ac:dyDescent="0.25"/>
    <row r="2888" s="82" customFormat="1" x14ac:dyDescent="0.25"/>
    <row r="2889" s="82" customFormat="1" x14ac:dyDescent="0.25"/>
    <row r="2890" s="82" customFormat="1" x14ac:dyDescent="0.25"/>
    <row r="2891" s="82" customFormat="1" x14ac:dyDescent="0.25"/>
    <row r="2892" s="82" customFormat="1" x14ac:dyDescent="0.25"/>
    <row r="2893" s="82" customFormat="1" x14ac:dyDescent="0.25"/>
    <row r="2894" s="82" customFormat="1" x14ac:dyDescent="0.25"/>
    <row r="2895" s="82" customFormat="1" x14ac:dyDescent="0.25"/>
    <row r="2896" s="82" customFormat="1" x14ac:dyDescent="0.25"/>
    <row r="2897" s="82" customFormat="1" x14ac:dyDescent="0.25"/>
    <row r="2898" s="82" customFormat="1" x14ac:dyDescent="0.25"/>
    <row r="2899" s="82" customFormat="1" x14ac:dyDescent="0.25"/>
    <row r="2900" s="82" customFormat="1" x14ac:dyDescent="0.25"/>
    <row r="2901" s="82" customFormat="1" x14ac:dyDescent="0.25"/>
    <row r="2902" s="82" customFormat="1" x14ac:dyDescent="0.25"/>
    <row r="2903" s="82" customFormat="1" x14ac:dyDescent="0.25"/>
    <row r="2904" s="82" customFormat="1" x14ac:dyDescent="0.25"/>
    <row r="2905" s="82" customFormat="1" x14ac:dyDescent="0.25"/>
    <row r="2906" s="82" customFormat="1" x14ac:dyDescent="0.25"/>
    <row r="2907" s="82" customFormat="1" x14ac:dyDescent="0.25"/>
    <row r="2908" s="82" customFormat="1" x14ac:dyDescent="0.25"/>
    <row r="2909" s="82" customFormat="1" x14ac:dyDescent="0.25"/>
    <row r="2910" s="82" customFormat="1" x14ac:dyDescent="0.25"/>
    <row r="2911" s="82" customFormat="1" x14ac:dyDescent="0.25"/>
    <row r="2912" s="82" customFormat="1" x14ac:dyDescent="0.25"/>
    <row r="2913" s="82" customFormat="1" x14ac:dyDescent="0.25"/>
    <row r="2914" s="82" customFormat="1" x14ac:dyDescent="0.25"/>
    <row r="2915" s="82" customFormat="1" x14ac:dyDescent="0.25"/>
    <row r="2916" s="82" customFormat="1" x14ac:dyDescent="0.25"/>
    <row r="2917" s="82" customFormat="1" x14ac:dyDescent="0.25"/>
    <row r="2918" s="82" customFormat="1" x14ac:dyDescent="0.25"/>
    <row r="2919" s="82" customFormat="1" x14ac:dyDescent="0.25"/>
    <row r="2920" s="82" customFormat="1" x14ac:dyDescent="0.25"/>
    <row r="2921" s="82" customFormat="1" x14ac:dyDescent="0.25"/>
    <row r="2922" s="82" customFormat="1" x14ac:dyDescent="0.25"/>
    <row r="2923" s="82" customFormat="1" x14ac:dyDescent="0.25"/>
    <row r="2924" s="82" customFormat="1" x14ac:dyDescent="0.25"/>
    <row r="2925" s="82" customFormat="1" x14ac:dyDescent="0.25"/>
    <row r="2926" s="82" customFormat="1" x14ac:dyDescent="0.25"/>
    <row r="2927" s="82" customFormat="1" x14ac:dyDescent="0.25"/>
    <row r="2928" s="82" customFormat="1" x14ac:dyDescent="0.25"/>
    <row r="2929" s="82" customFormat="1" x14ac:dyDescent="0.25"/>
    <row r="2930" s="82" customFormat="1" x14ac:dyDescent="0.25"/>
    <row r="2931" s="82" customFormat="1" x14ac:dyDescent="0.25"/>
    <row r="2932" s="82" customFormat="1" x14ac:dyDescent="0.25"/>
    <row r="2933" s="82" customFormat="1" x14ac:dyDescent="0.25"/>
    <row r="2934" s="82" customFormat="1" x14ac:dyDescent="0.25"/>
    <row r="2935" s="82" customFormat="1" x14ac:dyDescent="0.25"/>
    <row r="2936" s="82" customFormat="1" x14ac:dyDescent="0.25"/>
    <row r="2937" s="82" customFormat="1" x14ac:dyDescent="0.25"/>
    <row r="2938" s="82" customFormat="1" x14ac:dyDescent="0.25"/>
    <row r="2939" s="82" customFormat="1" x14ac:dyDescent="0.25"/>
    <row r="2940" s="82" customFormat="1" x14ac:dyDescent="0.25"/>
    <row r="2941" s="82" customFormat="1" x14ac:dyDescent="0.25"/>
    <row r="2942" s="82" customFormat="1" x14ac:dyDescent="0.25"/>
    <row r="2943" s="82" customFormat="1" x14ac:dyDescent="0.25"/>
    <row r="2944" s="82" customFormat="1" x14ac:dyDescent="0.25"/>
    <row r="2945" s="82" customFormat="1" x14ac:dyDescent="0.25"/>
    <row r="2946" s="82" customFormat="1" x14ac:dyDescent="0.25"/>
    <row r="2947" s="82" customFormat="1" x14ac:dyDescent="0.25"/>
    <row r="2948" s="82" customFormat="1" x14ac:dyDescent="0.25"/>
    <row r="2949" s="82" customFormat="1" x14ac:dyDescent="0.25"/>
    <row r="2950" s="82" customFormat="1" x14ac:dyDescent="0.25"/>
    <row r="2951" s="82" customFormat="1" x14ac:dyDescent="0.25"/>
    <row r="2952" s="82" customFormat="1" x14ac:dyDescent="0.25"/>
    <row r="2953" s="82" customFormat="1" x14ac:dyDescent="0.25"/>
    <row r="2954" s="82" customFormat="1" x14ac:dyDescent="0.25"/>
    <row r="2955" s="82" customFormat="1" x14ac:dyDescent="0.25"/>
    <row r="2956" s="82" customFormat="1" x14ac:dyDescent="0.25"/>
    <row r="2957" s="82" customFormat="1" x14ac:dyDescent="0.25"/>
    <row r="2958" s="82" customFormat="1" x14ac:dyDescent="0.25"/>
    <row r="2959" s="82" customFormat="1" x14ac:dyDescent="0.25"/>
    <row r="2960" s="82" customFormat="1" x14ac:dyDescent="0.25"/>
    <row r="2961" s="82" customFormat="1" x14ac:dyDescent="0.25"/>
    <row r="2962" s="82" customFormat="1" x14ac:dyDescent="0.25"/>
    <row r="2963" s="82" customFormat="1" x14ac:dyDescent="0.25"/>
    <row r="2964" s="82" customFormat="1" x14ac:dyDescent="0.25"/>
    <row r="2965" s="82" customFormat="1" x14ac:dyDescent="0.25"/>
    <row r="2966" s="82" customFormat="1" x14ac:dyDescent="0.25"/>
    <row r="2967" s="82" customFormat="1" x14ac:dyDescent="0.25"/>
    <row r="2968" s="82" customFormat="1" x14ac:dyDescent="0.25"/>
    <row r="2969" s="82" customFormat="1" x14ac:dyDescent="0.25"/>
    <row r="2970" s="82" customFormat="1" x14ac:dyDescent="0.25"/>
    <row r="2971" s="82" customFormat="1" x14ac:dyDescent="0.25"/>
    <row r="2972" s="82" customFormat="1" x14ac:dyDescent="0.25"/>
    <row r="2973" s="82" customFormat="1" x14ac:dyDescent="0.25"/>
    <row r="2974" s="82" customFormat="1" x14ac:dyDescent="0.25"/>
    <row r="2975" s="82" customFormat="1" x14ac:dyDescent="0.25"/>
    <row r="2976" s="82" customFormat="1" x14ac:dyDescent="0.25"/>
    <row r="2977" s="82" customFormat="1" x14ac:dyDescent="0.25"/>
    <row r="2978" s="82" customFormat="1" x14ac:dyDescent="0.25"/>
    <row r="2979" s="82" customFormat="1" x14ac:dyDescent="0.25"/>
    <row r="2980" s="82" customFormat="1" x14ac:dyDescent="0.25"/>
    <row r="2981" s="82" customFormat="1" x14ac:dyDescent="0.25"/>
    <row r="2982" s="82" customFormat="1" x14ac:dyDescent="0.25"/>
    <row r="2983" s="82" customFormat="1" x14ac:dyDescent="0.25"/>
    <row r="2984" s="82" customFormat="1" x14ac:dyDescent="0.25"/>
    <row r="2985" s="82" customFormat="1" x14ac:dyDescent="0.25"/>
    <row r="2986" s="82" customFormat="1" x14ac:dyDescent="0.25"/>
    <row r="2987" s="82" customFormat="1" x14ac:dyDescent="0.25"/>
    <row r="2988" s="82" customFormat="1" x14ac:dyDescent="0.25"/>
    <row r="2989" s="82" customFormat="1" x14ac:dyDescent="0.25"/>
    <row r="2990" s="82" customFormat="1" x14ac:dyDescent="0.25"/>
    <row r="2991" s="82" customFormat="1" x14ac:dyDescent="0.25"/>
    <row r="2992" s="82" customFormat="1" x14ac:dyDescent="0.25"/>
    <row r="2993" s="82" customFormat="1" x14ac:dyDescent="0.25"/>
    <row r="2994" s="82" customFormat="1" x14ac:dyDescent="0.25"/>
    <row r="2995" s="82" customFormat="1" x14ac:dyDescent="0.25"/>
    <row r="2996" s="82" customFormat="1" x14ac:dyDescent="0.25"/>
    <row r="2997" s="82" customFormat="1" x14ac:dyDescent="0.25"/>
    <row r="2998" s="82" customFormat="1" x14ac:dyDescent="0.25"/>
    <row r="2999" s="82" customFormat="1" x14ac:dyDescent="0.25"/>
    <row r="3000" s="82" customFormat="1" x14ac:dyDescent="0.25"/>
    <row r="3001" s="82" customFormat="1" x14ac:dyDescent="0.25"/>
    <row r="3002" s="82" customFormat="1" x14ac:dyDescent="0.25"/>
    <row r="3003" s="82" customFormat="1" x14ac:dyDescent="0.25"/>
    <row r="3004" s="82" customFormat="1" x14ac:dyDescent="0.25"/>
    <row r="3005" s="82" customFormat="1" x14ac:dyDescent="0.25"/>
    <row r="3006" s="82" customFormat="1" x14ac:dyDescent="0.25"/>
    <row r="3007" s="82" customFormat="1" x14ac:dyDescent="0.25"/>
    <row r="3008" s="82" customFormat="1" x14ac:dyDescent="0.25"/>
    <row r="3009" s="82" customFormat="1" x14ac:dyDescent="0.25"/>
    <row r="3010" s="82" customFormat="1" x14ac:dyDescent="0.25"/>
    <row r="3011" s="82" customFormat="1" x14ac:dyDescent="0.25"/>
    <row r="3012" s="82" customFormat="1" x14ac:dyDescent="0.25"/>
    <row r="3013" s="82" customFormat="1" x14ac:dyDescent="0.25"/>
    <row r="3014" s="82" customFormat="1" x14ac:dyDescent="0.25"/>
    <row r="3015" s="82" customFormat="1" x14ac:dyDescent="0.25"/>
    <row r="3016" s="82" customFormat="1" x14ac:dyDescent="0.25"/>
    <row r="3017" s="82" customFormat="1" x14ac:dyDescent="0.25"/>
    <row r="3018" s="82" customFormat="1" x14ac:dyDescent="0.25"/>
    <row r="3019" s="82" customFormat="1" x14ac:dyDescent="0.25"/>
    <row r="3020" s="82" customFormat="1" x14ac:dyDescent="0.25"/>
    <row r="3021" s="82" customFormat="1" x14ac:dyDescent="0.25"/>
    <row r="3022" s="82" customFormat="1" x14ac:dyDescent="0.25"/>
    <row r="3023" s="82" customFormat="1" x14ac:dyDescent="0.25"/>
    <row r="3024" s="82" customFormat="1" x14ac:dyDescent="0.25"/>
    <row r="3025" s="82" customFormat="1" x14ac:dyDescent="0.25"/>
    <row r="3026" s="82" customFormat="1" x14ac:dyDescent="0.25"/>
    <row r="3027" s="82" customFormat="1" x14ac:dyDescent="0.25"/>
    <row r="3028" s="82" customFormat="1" x14ac:dyDescent="0.25"/>
    <row r="3029" s="82" customFormat="1" x14ac:dyDescent="0.25"/>
    <row r="3030" s="82" customFormat="1" x14ac:dyDescent="0.25"/>
    <row r="3031" s="82" customFormat="1" x14ac:dyDescent="0.25"/>
    <row r="3032" s="82" customFormat="1" x14ac:dyDescent="0.25"/>
    <row r="3033" s="82" customFormat="1" x14ac:dyDescent="0.25"/>
    <row r="3034" s="82" customFormat="1" x14ac:dyDescent="0.25"/>
    <row r="3035" s="82" customFormat="1" x14ac:dyDescent="0.25"/>
    <row r="3036" s="82" customFormat="1" x14ac:dyDescent="0.25"/>
    <row r="3037" s="82" customFormat="1" x14ac:dyDescent="0.25"/>
    <row r="3038" s="82" customFormat="1" x14ac:dyDescent="0.25"/>
    <row r="3039" s="82" customFormat="1" x14ac:dyDescent="0.25"/>
    <row r="3040" s="82" customFormat="1" x14ac:dyDescent="0.25"/>
    <row r="3041" s="82" customFormat="1" x14ac:dyDescent="0.25"/>
    <row r="3042" s="82" customFormat="1" x14ac:dyDescent="0.25"/>
    <row r="3043" s="82" customFormat="1" x14ac:dyDescent="0.25"/>
    <row r="3044" s="82" customFormat="1" x14ac:dyDescent="0.25"/>
    <row r="3045" s="82" customFormat="1" x14ac:dyDescent="0.25"/>
    <row r="3046" s="82" customFormat="1" x14ac:dyDescent="0.25"/>
    <row r="3047" s="82" customFormat="1" x14ac:dyDescent="0.25"/>
    <row r="3048" s="82" customFormat="1" x14ac:dyDescent="0.25"/>
    <row r="3049" s="82" customFormat="1" x14ac:dyDescent="0.25"/>
    <row r="3050" s="82" customFormat="1" x14ac:dyDescent="0.25"/>
    <row r="3051" s="82" customFormat="1" x14ac:dyDescent="0.25"/>
    <row r="3052" s="82" customFormat="1" x14ac:dyDescent="0.25"/>
    <row r="3053" s="82" customFormat="1" x14ac:dyDescent="0.25"/>
    <row r="3054" s="82" customFormat="1" x14ac:dyDescent="0.25"/>
    <row r="3055" s="82" customFormat="1" x14ac:dyDescent="0.25"/>
    <row r="3056" s="82" customFormat="1" x14ac:dyDescent="0.25"/>
    <row r="3057" s="82" customFormat="1" x14ac:dyDescent="0.25"/>
    <row r="3058" s="82" customFormat="1" x14ac:dyDescent="0.25"/>
    <row r="3059" s="82" customFormat="1" x14ac:dyDescent="0.25"/>
    <row r="3060" s="82" customFormat="1" x14ac:dyDescent="0.25"/>
    <row r="3061" s="82" customFormat="1" x14ac:dyDescent="0.25"/>
    <row r="3062" s="82" customFormat="1" x14ac:dyDescent="0.25"/>
    <row r="3063" s="82" customFormat="1" x14ac:dyDescent="0.25"/>
    <row r="3064" s="82" customFormat="1" x14ac:dyDescent="0.25"/>
    <row r="3065" s="82" customFormat="1" x14ac:dyDescent="0.25"/>
    <row r="3066" s="82" customFormat="1" x14ac:dyDescent="0.25"/>
    <row r="3067" s="82" customFormat="1" x14ac:dyDescent="0.25"/>
    <row r="3068" s="82" customFormat="1" x14ac:dyDescent="0.25"/>
    <row r="3069" s="82" customFormat="1" x14ac:dyDescent="0.25"/>
    <row r="3070" s="82" customFormat="1" x14ac:dyDescent="0.25"/>
    <row r="3071" s="82" customFormat="1" x14ac:dyDescent="0.25"/>
    <row r="3072" s="82" customFormat="1" x14ac:dyDescent="0.25"/>
    <row r="3073" s="82" customFormat="1" x14ac:dyDescent="0.25"/>
    <row r="3074" s="82" customFormat="1" x14ac:dyDescent="0.25"/>
    <row r="3075" s="82" customFormat="1" x14ac:dyDescent="0.25"/>
    <row r="3076" s="82" customFormat="1" x14ac:dyDescent="0.25"/>
    <row r="3077" s="82" customFormat="1" x14ac:dyDescent="0.25"/>
    <row r="3078" s="82" customFormat="1" x14ac:dyDescent="0.25"/>
    <row r="3079" s="82" customFormat="1" x14ac:dyDescent="0.25"/>
    <row r="3080" s="82" customFormat="1" x14ac:dyDescent="0.25"/>
    <row r="3081" s="82" customFormat="1" x14ac:dyDescent="0.25"/>
    <row r="3082" s="82" customFormat="1" x14ac:dyDescent="0.25"/>
    <row r="3083" s="82" customFormat="1" x14ac:dyDescent="0.25"/>
    <row r="3084" s="82" customFormat="1" x14ac:dyDescent="0.25"/>
    <row r="3085" s="82" customFormat="1" x14ac:dyDescent="0.25"/>
    <row r="3086" s="82" customFormat="1" x14ac:dyDescent="0.25"/>
    <row r="3087" s="82" customFormat="1" x14ac:dyDescent="0.25"/>
    <row r="3088" s="82" customFormat="1" x14ac:dyDescent="0.25"/>
    <row r="3089" s="82" customFormat="1" x14ac:dyDescent="0.25"/>
    <row r="3090" s="82" customFormat="1" x14ac:dyDescent="0.25"/>
    <row r="3091" s="82" customFormat="1" x14ac:dyDescent="0.25"/>
    <row r="3092" s="82" customFormat="1" x14ac:dyDescent="0.25"/>
    <row r="3093" s="82" customFormat="1" x14ac:dyDescent="0.25"/>
    <row r="3094" s="82" customFormat="1" x14ac:dyDescent="0.25"/>
    <row r="3095" s="82" customFormat="1" x14ac:dyDescent="0.25"/>
    <row r="3096" s="82" customFormat="1" x14ac:dyDescent="0.25"/>
    <row r="3097" s="82" customFormat="1" x14ac:dyDescent="0.25"/>
    <row r="3098" s="82" customFormat="1" x14ac:dyDescent="0.25"/>
    <row r="3099" s="82" customFormat="1" x14ac:dyDescent="0.25"/>
    <row r="3100" s="82" customFormat="1" x14ac:dyDescent="0.25"/>
    <row r="3101" s="82" customFormat="1" x14ac:dyDescent="0.25"/>
    <row r="3102" s="82" customFormat="1" x14ac:dyDescent="0.25"/>
    <row r="3103" s="82" customFormat="1" x14ac:dyDescent="0.25"/>
    <row r="3104" s="82" customFormat="1" x14ac:dyDescent="0.25"/>
    <row r="3105" s="82" customFormat="1" x14ac:dyDescent="0.25"/>
    <row r="3106" s="82" customFormat="1" x14ac:dyDescent="0.25"/>
    <row r="3107" s="82" customFormat="1" x14ac:dyDescent="0.25"/>
    <row r="3108" s="82" customFormat="1" x14ac:dyDescent="0.25"/>
    <row r="3109" s="82" customFormat="1" x14ac:dyDescent="0.25"/>
    <row r="3110" s="82" customFormat="1" x14ac:dyDescent="0.25"/>
    <row r="3111" s="82" customFormat="1" x14ac:dyDescent="0.25"/>
    <row r="3112" s="82" customFormat="1" x14ac:dyDescent="0.25"/>
    <row r="3113" s="82" customFormat="1" x14ac:dyDescent="0.25"/>
    <row r="3114" s="82" customFormat="1" x14ac:dyDescent="0.25"/>
    <row r="3115" s="82" customFormat="1" x14ac:dyDescent="0.25"/>
    <row r="3116" s="82" customFormat="1" x14ac:dyDescent="0.25"/>
    <row r="3117" s="82" customFormat="1" x14ac:dyDescent="0.25"/>
    <row r="3118" s="82" customFormat="1" x14ac:dyDescent="0.25"/>
    <row r="3119" s="82" customFormat="1" x14ac:dyDescent="0.25"/>
    <row r="3120" s="82" customFormat="1" x14ac:dyDescent="0.25"/>
    <row r="3121" s="82" customFormat="1" x14ac:dyDescent="0.25"/>
    <row r="3122" s="82" customFormat="1" x14ac:dyDescent="0.25"/>
    <row r="3123" s="82" customFormat="1" x14ac:dyDescent="0.25"/>
    <row r="3124" s="82" customFormat="1" x14ac:dyDescent="0.25"/>
    <row r="3125" s="82" customFormat="1" x14ac:dyDescent="0.25"/>
    <row r="3126" s="82" customFormat="1" x14ac:dyDescent="0.25"/>
    <row r="3127" s="82" customFormat="1" x14ac:dyDescent="0.25"/>
    <row r="3128" s="82" customFormat="1" x14ac:dyDescent="0.25"/>
    <row r="3129" s="82" customFormat="1" x14ac:dyDescent="0.25"/>
    <row r="3130" s="82" customFormat="1" x14ac:dyDescent="0.25"/>
    <row r="3131" s="82" customFormat="1" x14ac:dyDescent="0.25"/>
    <row r="3132" s="82" customFormat="1" x14ac:dyDescent="0.25"/>
    <row r="3133" s="82" customFormat="1" x14ac:dyDescent="0.25"/>
    <row r="3134" s="82" customFormat="1" x14ac:dyDescent="0.25"/>
    <row r="3135" s="82" customFormat="1" x14ac:dyDescent="0.25"/>
    <row r="3136" s="82" customFormat="1" x14ac:dyDescent="0.25"/>
    <row r="3137" s="82" customFormat="1" x14ac:dyDescent="0.25"/>
    <row r="3138" s="82" customFormat="1" x14ac:dyDescent="0.25"/>
    <row r="3139" s="82" customFormat="1" x14ac:dyDescent="0.25"/>
    <row r="3140" s="82" customFormat="1" x14ac:dyDescent="0.25"/>
    <row r="3141" s="82" customFormat="1" x14ac:dyDescent="0.25"/>
    <row r="3142" s="82" customFormat="1" x14ac:dyDescent="0.25"/>
    <row r="3143" s="82" customFormat="1" x14ac:dyDescent="0.25"/>
    <row r="3144" s="82" customFormat="1" x14ac:dyDescent="0.25"/>
    <row r="3145" s="82" customFormat="1" x14ac:dyDescent="0.25"/>
    <row r="3146" s="82" customFormat="1" x14ac:dyDescent="0.25"/>
    <row r="3147" s="82" customFormat="1" x14ac:dyDescent="0.25"/>
    <row r="3148" s="82" customFormat="1" x14ac:dyDescent="0.25"/>
    <row r="3149" s="82" customFormat="1" x14ac:dyDescent="0.25"/>
    <row r="3150" s="82" customFormat="1" x14ac:dyDescent="0.25"/>
    <row r="3151" s="82" customFormat="1" x14ac:dyDescent="0.25"/>
    <row r="3152" s="82" customFormat="1" x14ac:dyDescent="0.25"/>
    <row r="3153" s="82" customFormat="1" x14ac:dyDescent="0.25"/>
    <row r="3154" s="82" customFormat="1" x14ac:dyDescent="0.25"/>
    <row r="3155" s="82" customFormat="1" x14ac:dyDescent="0.25"/>
    <row r="3156" s="82" customFormat="1" x14ac:dyDescent="0.25"/>
    <row r="3157" s="82" customFormat="1" x14ac:dyDescent="0.25"/>
    <row r="3158" s="82" customFormat="1" x14ac:dyDescent="0.25"/>
    <row r="3159" s="82" customFormat="1" x14ac:dyDescent="0.25"/>
    <row r="3160" s="82" customFormat="1" x14ac:dyDescent="0.25"/>
    <row r="3161" s="82" customFormat="1" x14ac:dyDescent="0.25"/>
    <row r="3162" s="82" customFormat="1" x14ac:dyDescent="0.25"/>
    <row r="3163" s="82" customFormat="1" x14ac:dyDescent="0.25"/>
    <row r="3164" s="82" customFormat="1" x14ac:dyDescent="0.25"/>
    <row r="3165" s="82" customFormat="1" x14ac:dyDescent="0.25"/>
    <row r="3166" s="82" customFormat="1" x14ac:dyDescent="0.25"/>
    <row r="3167" s="82" customFormat="1" x14ac:dyDescent="0.25"/>
    <row r="3168" s="82" customFormat="1" x14ac:dyDescent="0.25"/>
    <row r="3169" s="82" customFormat="1" x14ac:dyDescent="0.25"/>
    <row r="3170" s="82" customFormat="1" x14ac:dyDescent="0.25"/>
    <row r="3171" s="82" customFormat="1" x14ac:dyDescent="0.25"/>
    <row r="3172" s="82" customFormat="1" x14ac:dyDescent="0.25"/>
    <row r="3173" s="82" customFormat="1" x14ac:dyDescent="0.25"/>
    <row r="3174" s="82" customFormat="1" x14ac:dyDescent="0.25"/>
    <row r="3175" s="82" customFormat="1" x14ac:dyDescent="0.25"/>
    <row r="3176" s="82" customFormat="1" x14ac:dyDescent="0.25"/>
    <row r="3177" s="82" customFormat="1" x14ac:dyDescent="0.25"/>
    <row r="3178" s="82" customFormat="1" x14ac:dyDescent="0.25"/>
    <row r="3179" s="82" customFormat="1" x14ac:dyDescent="0.25"/>
    <row r="3180" s="82" customFormat="1" x14ac:dyDescent="0.25"/>
    <row r="3181" s="82" customFormat="1" x14ac:dyDescent="0.25"/>
    <row r="3182" s="82" customFormat="1" x14ac:dyDescent="0.25"/>
    <row r="3183" s="82" customFormat="1" x14ac:dyDescent="0.25"/>
    <row r="3184" s="82" customFormat="1" x14ac:dyDescent="0.25"/>
    <row r="3185" s="82" customFormat="1" x14ac:dyDescent="0.25"/>
    <row r="3186" s="82" customFormat="1" x14ac:dyDescent="0.25"/>
    <row r="3187" s="82" customFormat="1" x14ac:dyDescent="0.25"/>
    <row r="3188" s="82" customFormat="1" x14ac:dyDescent="0.25"/>
    <row r="3189" s="82" customFormat="1" x14ac:dyDescent="0.25"/>
    <row r="3190" s="82" customFormat="1" x14ac:dyDescent="0.25"/>
    <row r="3191" s="82" customFormat="1" x14ac:dyDescent="0.25"/>
    <row r="3192" s="82" customFormat="1" x14ac:dyDescent="0.25"/>
    <row r="3193" s="82" customFormat="1" x14ac:dyDescent="0.25"/>
    <row r="3194" s="82" customFormat="1" x14ac:dyDescent="0.25"/>
    <row r="3195" s="82" customFormat="1" x14ac:dyDescent="0.25"/>
    <row r="3196" s="82" customFormat="1" x14ac:dyDescent="0.25"/>
    <row r="3197" s="82" customFormat="1" x14ac:dyDescent="0.25"/>
    <row r="3198" s="82" customFormat="1" x14ac:dyDescent="0.25"/>
    <row r="3199" s="82" customFormat="1" x14ac:dyDescent="0.25"/>
    <row r="3200" s="82" customFormat="1" x14ac:dyDescent="0.25"/>
    <row r="3201" s="82" customFormat="1" x14ac:dyDescent="0.25"/>
    <row r="3202" s="82" customFormat="1" x14ac:dyDescent="0.25"/>
    <row r="3203" s="82" customFormat="1" x14ac:dyDescent="0.25"/>
    <row r="3204" s="82" customFormat="1" x14ac:dyDescent="0.25"/>
    <row r="3205" s="82" customFormat="1" x14ac:dyDescent="0.25"/>
    <row r="3206" s="82" customFormat="1" x14ac:dyDescent="0.25"/>
    <row r="3207" s="82" customFormat="1" x14ac:dyDescent="0.25"/>
    <row r="3208" s="82" customFormat="1" x14ac:dyDescent="0.25"/>
    <row r="3209" s="82" customFormat="1" x14ac:dyDescent="0.25"/>
    <row r="3210" s="82" customFormat="1" x14ac:dyDescent="0.25"/>
    <row r="3211" s="82" customFormat="1" x14ac:dyDescent="0.25"/>
    <row r="3212" s="82" customFormat="1" x14ac:dyDescent="0.25"/>
    <row r="3213" s="82" customFormat="1" x14ac:dyDescent="0.25"/>
    <row r="3214" s="82" customFormat="1" x14ac:dyDescent="0.25"/>
    <row r="3215" s="82" customFormat="1" x14ac:dyDescent="0.25"/>
    <row r="3216" s="82" customFormat="1" x14ac:dyDescent="0.25"/>
    <row r="3217" s="82" customFormat="1" x14ac:dyDescent="0.25"/>
    <row r="3218" s="82" customFormat="1" x14ac:dyDescent="0.25"/>
    <row r="3219" s="82" customFormat="1" x14ac:dyDescent="0.25"/>
    <row r="3220" s="82" customFormat="1" x14ac:dyDescent="0.25"/>
    <row r="3221" s="82" customFormat="1" x14ac:dyDescent="0.25"/>
    <row r="3222" s="82" customFormat="1" x14ac:dyDescent="0.25"/>
    <row r="3223" s="82" customFormat="1" x14ac:dyDescent="0.25"/>
    <row r="3224" s="82" customFormat="1" x14ac:dyDescent="0.25"/>
    <row r="3225" s="82" customFormat="1" x14ac:dyDescent="0.25"/>
    <row r="3226" s="82" customFormat="1" x14ac:dyDescent="0.25"/>
    <row r="3227" s="82" customFormat="1" x14ac:dyDescent="0.25"/>
    <row r="3228" s="82" customFormat="1" x14ac:dyDescent="0.25"/>
    <row r="3229" s="82" customFormat="1" x14ac:dyDescent="0.25"/>
    <row r="3230" s="82" customFormat="1" x14ac:dyDescent="0.25"/>
    <row r="3231" s="82" customFormat="1" x14ac:dyDescent="0.25"/>
    <row r="3232" s="82" customFormat="1" x14ac:dyDescent="0.25"/>
    <row r="3233" s="82" customFormat="1" x14ac:dyDescent="0.25"/>
    <row r="3234" s="82" customFormat="1" x14ac:dyDescent="0.25"/>
    <row r="3235" s="82" customFormat="1" x14ac:dyDescent="0.25"/>
    <row r="3236" s="82" customFormat="1" x14ac:dyDescent="0.25"/>
    <row r="3237" s="82" customFormat="1" x14ac:dyDescent="0.25"/>
    <row r="3238" s="82" customFormat="1" x14ac:dyDescent="0.25"/>
    <row r="3239" s="82" customFormat="1" x14ac:dyDescent="0.25"/>
    <row r="3240" s="82" customFormat="1" x14ac:dyDescent="0.25"/>
    <row r="3241" s="82" customFormat="1" x14ac:dyDescent="0.25"/>
    <row r="3242" s="82" customFormat="1" x14ac:dyDescent="0.25"/>
    <row r="3243" s="82" customFormat="1" x14ac:dyDescent="0.25"/>
    <row r="3244" s="82" customFormat="1" x14ac:dyDescent="0.25"/>
    <row r="3245" s="82" customFormat="1" x14ac:dyDescent="0.25"/>
    <row r="3246" s="82" customFormat="1" x14ac:dyDescent="0.25"/>
    <row r="3247" s="82" customFormat="1" x14ac:dyDescent="0.25"/>
    <row r="3248" s="82" customFormat="1" x14ac:dyDescent="0.25"/>
    <row r="3249" s="82" customFormat="1" x14ac:dyDescent="0.25"/>
    <row r="3250" s="82" customFormat="1" x14ac:dyDescent="0.25"/>
    <row r="3251" s="82" customFormat="1" x14ac:dyDescent="0.25"/>
    <row r="3252" s="82" customFormat="1" x14ac:dyDescent="0.25"/>
    <row r="3253" s="82" customFormat="1" x14ac:dyDescent="0.25"/>
    <row r="3254" s="82" customFormat="1" x14ac:dyDescent="0.25"/>
    <row r="3255" s="82" customFormat="1" x14ac:dyDescent="0.25"/>
    <row r="3256" s="82" customFormat="1" x14ac:dyDescent="0.25"/>
    <row r="3257" s="82" customFormat="1" x14ac:dyDescent="0.25"/>
    <row r="3258" s="82" customFormat="1" x14ac:dyDescent="0.25"/>
    <row r="3259" s="82" customFormat="1" x14ac:dyDescent="0.25"/>
    <row r="3260" s="82" customFormat="1" x14ac:dyDescent="0.25"/>
    <row r="3261" s="82" customFormat="1" x14ac:dyDescent="0.25"/>
    <row r="3262" s="82" customFormat="1" x14ac:dyDescent="0.25"/>
    <row r="3263" s="82" customFormat="1" x14ac:dyDescent="0.25"/>
    <row r="3264" s="82" customFormat="1" x14ac:dyDescent="0.25"/>
    <row r="3265" s="82" customFormat="1" x14ac:dyDescent="0.25"/>
    <row r="3266" s="82" customFormat="1" x14ac:dyDescent="0.25"/>
    <row r="3267" s="82" customFormat="1" x14ac:dyDescent="0.25"/>
    <row r="3268" s="82" customFormat="1" x14ac:dyDescent="0.25"/>
    <row r="3269" s="82" customFormat="1" x14ac:dyDescent="0.25"/>
    <row r="3270" s="82" customFormat="1" x14ac:dyDescent="0.25"/>
    <row r="3271" s="82" customFormat="1" x14ac:dyDescent="0.25"/>
    <row r="3272" s="82" customFormat="1" x14ac:dyDescent="0.25"/>
    <row r="3273" s="82" customFormat="1" x14ac:dyDescent="0.25"/>
    <row r="3274" s="82" customFormat="1" x14ac:dyDescent="0.25"/>
    <row r="3275" s="82" customFormat="1" x14ac:dyDescent="0.25"/>
    <row r="3276" s="82" customFormat="1" x14ac:dyDescent="0.25"/>
    <row r="3277" s="82" customFormat="1" x14ac:dyDescent="0.25"/>
    <row r="3278" s="82" customFormat="1" x14ac:dyDescent="0.25"/>
    <row r="3279" s="82" customFormat="1" x14ac:dyDescent="0.25"/>
    <row r="3280" s="82" customFormat="1" x14ac:dyDescent="0.25"/>
    <row r="3281" s="82" customFormat="1" x14ac:dyDescent="0.25"/>
    <row r="3282" s="82" customFormat="1" x14ac:dyDescent="0.25"/>
    <row r="3283" s="82" customFormat="1" x14ac:dyDescent="0.25"/>
    <row r="3284" s="82" customFormat="1" x14ac:dyDescent="0.25"/>
    <row r="3285" s="82" customFormat="1" x14ac:dyDescent="0.25"/>
    <row r="3286" s="82" customFormat="1" x14ac:dyDescent="0.25"/>
    <row r="3287" s="82" customFormat="1" x14ac:dyDescent="0.25"/>
    <row r="3288" s="82" customFormat="1" x14ac:dyDescent="0.25"/>
    <row r="3289" s="82" customFormat="1" x14ac:dyDescent="0.25"/>
    <row r="3290" s="82" customFormat="1" x14ac:dyDescent="0.25"/>
    <row r="3291" s="82" customFormat="1" x14ac:dyDescent="0.25"/>
    <row r="3292" s="82" customFormat="1" x14ac:dyDescent="0.25"/>
    <row r="3293" s="82" customFormat="1" x14ac:dyDescent="0.25"/>
    <row r="3294" s="82" customFormat="1" x14ac:dyDescent="0.25"/>
    <row r="3295" s="82" customFormat="1" x14ac:dyDescent="0.25"/>
    <row r="3296" s="82" customFormat="1" x14ac:dyDescent="0.25"/>
    <row r="3297" s="82" customFormat="1" x14ac:dyDescent="0.25"/>
    <row r="3298" s="82" customFormat="1" x14ac:dyDescent="0.25"/>
    <row r="3299" s="82" customFormat="1" x14ac:dyDescent="0.25"/>
    <row r="3300" s="82" customFormat="1" x14ac:dyDescent="0.25"/>
    <row r="3301" s="82" customFormat="1" x14ac:dyDescent="0.25"/>
    <row r="3302" s="82" customFormat="1" x14ac:dyDescent="0.25"/>
    <row r="3303" s="82" customFormat="1" x14ac:dyDescent="0.25"/>
    <row r="3304" s="82" customFormat="1" x14ac:dyDescent="0.25"/>
    <row r="3305" s="82" customFormat="1" x14ac:dyDescent="0.25"/>
    <row r="3306" s="82" customFormat="1" x14ac:dyDescent="0.25"/>
    <row r="3307" s="82" customFormat="1" x14ac:dyDescent="0.25"/>
    <row r="3308" s="82" customFormat="1" x14ac:dyDescent="0.25"/>
    <row r="3309" s="82" customFormat="1" x14ac:dyDescent="0.25"/>
    <row r="3310" s="82" customFormat="1" x14ac:dyDescent="0.25"/>
    <row r="3311" s="82" customFormat="1" x14ac:dyDescent="0.25"/>
    <row r="3312" s="82" customFormat="1" x14ac:dyDescent="0.25"/>
    <row r="3313" s="82" customFormat="1" x14ac:dyDescent="0.25"/>
    <row r="3314" s="82" customFormat="1" x14ac:dyDescent="0.25"/>
    <row r="3315" s="82" customFormat="1" x14ac:dyDescent="0.25"/>
    <row r="3316" s="82" customFormat="1" x14ac:dyDescent="0.25"/>
    <row r="3317" s="82" customFormat="1" x14ac:dyDescent="0.25"/>
    <row r="3318" s="82" customFormat="1" x14ac:dyDescent="0.25"/>
    <row r="3319" s="82" customFormat="1" x14ac:dyDescent="0.25"/>
    <row r="3320" s="82" customFormat="1" x14ac:dyDescent="0.25"/>
    <row r="3321" s="82" customFormat="1" x14ac:dyDescent="0.25"/>
    <row r="3322" s="82" customFormat="1" x14ac:dyDescent="0.25"/>
    <row r="3323" s="82" customFormat="1" x14ac:dyDescent="0.25"/>
    <row r="3324" s="82" customFormat="1" x14ac:dyDescent="0.25"/>
    <row r="3325" s="82" customFormat="1" x14ac:dyDescent="0.25"/>
    <row r="3326" s="82" customFormat="1" x14ac:dyDescent="0.25"/>
    <row r="3327" s="82" customFormat="1" x14ac:dyDescent="0.25"/>
    <row r="3328" s="82" customFormat="1" x14ac:dyDescent="0.25"/>
    <row r="3329" s="82" customFormat="1" x14ac:dyDescent="0.25"/>
    <row r="3330" s="82" customFormat="1" x14ac:dyDescent="0.25"/>
    <row r="3331" s="82" customFormat="1" x14ac:dyDescent="0.25"/>
    <row r="3332" s="82" customFormat="1" x14ac:dyDescent="0.25"/>
    <row r="3333" s="82" customFormat="1" x14ac:dyDescent="0.25"/>
    <row r="3334" s="82" customFormat="1" x14ac:dyDescent="0.25"/>
    <row r="3335" s="82" customFormat="1" x14ac:dyDescent="0.25"/>
    <row r="3336" s="82" customFormat="1" x14ac:dyDescent="0.25"/>
    <row r="3337" s="82" customFormat="1" x14ac:dyDescent="0.25"/>
    <row r="3338" s="82" customFormat="1" x14ac:dyDescent="0.25"/>
    <row r="3339" s="82" customFormat="1" x14ac:dyDescent="0.25"/>
    <row r="3340" s="82" customFormat="1" x14ac:dyDescent="0.25"/>
    <row r="3341" s="82" customFormat="1" x14ac:dyDescent="0.25"/>
    <row r="3342" s="82" customFormat="1" x14ac:dyDescent="0.25"/>
    <row r="3343" s="82" customFormat="1" x14ac:dyDescent="0.25"/>
    <row r="3344" s="82" customFormat="1" x14ac:dyDescent="0.25"/>
    <row r="3345" s="82" customFormat="1" x14ac:dyDescent="0.25"/>
    <row r="3346" s="82" customFormat="1" x14ac:dyDescent="0.25"/>
    <row r="3347" s="82" customFormat="1" x14ac:dyDescent="0.25"/>
    <row r="3348" s="82" customFormat="1" x14ac:dyDescent="0.25"/>
    <row r="3349" s="82" customFormat="1" x14ac:dyDescent="0.25"/>
    <row r="3350" s="82" customFormat="1" x14ac:dyDescent="0.25"/>
    <row r="3351" s="82" customFormat="1" x14ac:dyDescent="0.25"/>
    <row r="3352" s="82" customFormat="1" x14ac:dyDescent="0.25"/>
    <row r="3353" s="82" customFormat="1" x14ac:dyDescent="0.25"/>
    <row r="3354" s="82" customFormat="1" x14ac:dyDescent="0.25"/>
    <row r="3355" s="82" customFormat="1" x14ac:dyDescent="0.25"/>
    <row r="3356" s="82" customFormat="1" x14ac:dyDescent="0.25"/>
    <row r="3357" s="82" customFormat="1" x14ac:dyDescent="0.25"/>
    <row r="3358" s="82" customFormat="1" x14ac:dyDescent="0.25"/>
    <row r="3359" s="82" customFormat="1" x14ac:dyDescent="0.25"/>
    <row r="3360" s="82" customFormat="1" x14ac:dyDescent="0.25"/>
    <row r="3361" s="82" customFormat="1" x14ac:dyDescent="0.25"/>
    <row r="3362" s="82" customFormat="1" x14ac:dyDescent="0.25"/>
    <row r="3363" s="82" customFormat="1" x14ac:dyDescent="0.25"/>
    <row r="3364" s="82" customFormat="1" x14ac:dyDescent="0.25"/>
    <row r="3365" s="82" customFormat="1" x14ac:dyDescent="0.25"/>
    <row r="3366" s="82" customFormat="1" x14ac:dyDescent="0.25"/>
    <row r="3367" s="82" customFormat="1" x14ac:dyDescent="0.25"/>
    <row r="3368" s="82" customFormat="1" x14ac:dyDescent="0.25"/>
    <row r="3369" s="82" customFormat="1" x14ac:dyDescent="0.25"/>
    <row r="3370" s="82" customFormat="1" x14ac:dyDescent="0.25"/>
    <row r="3371" s="82" customFormat="1" x14ac:dyDescent="0.25"/>
    <row r="3372" s="82" customFormat="1" x14ac:dyDescent="0.25"/>
    <row r="3373" s="82" customFormat="1" x14ac:dyDescent="0.25"/>
    <row r="3374" s="82" customFormat="1" x14ac:dyDescent="0.25"/>
    <row r="3375" s="82" customFormat="1" x14ac:dyDescent="0.25"/>
    <row r="3376" s="82" customFormat="1" x14ac:dyDescent="0.25"/>
    <row r="3377" s="82" customFormat="1" x14ac:dyDescent="0.25"/>
    <row r="3378" s="82" customFormat="1" x14ac:dyDescent="0.25"/>
    <row r="3379" s="82" customFormat="1" x14ac:dyDescent="0.25"/>
    <row r="3380" s="82" customFormat="1" x14ac:dyDescent="0.25"/>
    <row r="3381" s="82" customFormat="1" x14ac:dyDescent="0.25"/>
    <row r="3382" s="82" customFormat="1" x14ac:dyDescent="0.25"/>
    <row r="3383" s="82" customFormat="1" x14ac:dyDescent="0.25"/>
    <row r="3384" s="82" customFormat="1" x14ac:dyDescent="0.25"/>
    <row r="3385" s="82" customFormat="1" x14ac:dyDescent="0.25"/>
    <row r="3386" s="82" customFormat="1" x14ac:dyDescent="0.25"/>
    <row r="3387" s="82" customFormat="1" x14ac:dyDescent="0.25"/>
    <row r="3388" s="82" customFormat="1" x14ac:dyDescent="0.25"/>
    <row r="3389" s="82" customFormat="1" x14ac:dyDescent="0.25"/>
    <row r="3390" s="82" customFormat="1" x14ac:dyDescent="0.25"/>
    <row r="3391" s="82" customFormat="1" x14ac:dyDescent="0.25"/>
    <row r="3392" s="82" customFormat="1" x14ac:dyDescent="0.25"/>
    <row r="3393" s="82" customFormat="1" x14ac:dyDescent="0.25"/>
    <row r="3394" s="82" customFormat="1" x14ac:dyDescent="0.25"/>
    <row r="3395" s="82" customFormat="1" x14ac:dyDescent="0.25"/>
    <row r="3396" s="82" customFormat="1" x14ac:dyDescent="0.25"/>
    <row r="3397" s="82" customFormat="1" x14ac:dyDescent="0.25"/>
    <row r="3398" s="82" customFormat="1" x14ac:dyDescent="0.25"/>
    <row r="3399" s="82" customFormat="1" x14ac:dyDescent="0.25"/>
    <row r="3400" s="82" customFormat="1" x14ac:dyDescent="0.25"/>
    <row r="3401" s="82" customFormat="1" x14ac:dyDescent="0.25"/>
    <row r="3402" s="82" customFormat="1" x14ac:dyDescent="0.25"/>
    <row r="3403" s="82" customFormat="1" x14ac:dyDescent="0.25"/>
    <row r="3404" s="82" customFormat="1" x14ac:dyDescent="0.25"/>
    <row r="3405" s="82" customFormat="1" x14ac:dyDescent="0.25"/>
    <row r="3406" s="82" customFormat="1" x14ac:dyDescent="0.25"/>
    <row r="3407" s="82" customFormat="1" x14ac:dyDescent="0.25"/>
    <row r="3408" s="82" customFormat="1" x14ac:dyDescent="0.25"/>
    <row r="3409" s="82" customFormat="1" x14ac:dyDescent="0.25"/>
    <row r="3410" s="82" customFormat="1" x14ac:dyDescent="0.25"/>
    <row r="3411" s="82" customFormat="1" x14ac:dyDescent="0.25"/>
    <row r="3412" s="82" customFormat="1" x14ac:dyDescent="0.25"/>
    <row r="3413" s="82" customFormat="1" x14ac:dyDescent="0.25"/>
    <row r="3414" s="82" customFormat="1" x14ac:dyDescent="0.25"/>
    <row r="3415" s="82" customFormat="1" x14ac:dyDescent="0.25"/>
    <row r="3416" s="82" customFormat="1" x14ac:dyDescent="0.25"/>
    <row r="3417" s="82" customFormat="1" x14ac:dyDescent="0.25"/>
    <row r="3418" s="82" customFormat="1" x14ac:dyDescent="0.25"/>
    <row r="3419" s="82" customFormat="1" x14ac:dyDescent="0.25"/>
    <row r="3420" s="82" customFormat="1" x14ac:dyDescent="0.25"/>
    <row r="3421" s="82" customFormat="1" x14ac:dyDescent="0.25"/>
    <row r="3422" s="82" customFormat="1" x14ac:dyDescent="0.25"/>
    <row r="3423" s="82" customFormat="1" x14ac:dyDescent="0.25"/>
    <row r="3424" s="82" customFormat="1" x14ac:dyDescent="0.25"/>
    <row r="3425" s="82" customFormat="1" x14ac:dyDescent="0.25"/>
    <row r="3426" s="82" customFormat="1" x14ac:dyDescent="0.25"/>
    <row r="3427" s="82" customFormat="1" x14ac:dyDescent="0.25"/>
    <row r="3428" s="82" customFormat="1" x14ac:dyDescent="0.25"/>
    <row r="3429" s="82" customFormat="1" x14ac:dyDescent="0.25"/>
    <row r="3430" s="82" customFormat="1" x14ac:dyDescent="0.25"/>
    <row r="3431" s="82" customFormat="1" x14ac:dyDescent="0.25"/>
    <row r="3432" s="82" customFormat="1" x14ac:dyDescent="0.25"/>
    <row r="3433" s="82" customFormat="1" x14ac:dyDescent="0.25"/>
    <row r="3434" s="82" customFormat="1" x14ac:dyDescent="0.25"/>
    <row r="3435" s="82" customFormat="1" x14ac:dyDescent="0.25"/>
    <row r="3436" s="82" customFormat="1" x14ac:dyDescent="0.25"/>
    <row r="3437" s="82" customFormat="1" x14ac:dyDescent="0.25"/>
    <row r="3438" s="82" customFormat="1" x14ac:dyDescent="0.25"/>
    <row r="3439" s="82" customFormat="1" x14ac:dyDescent="0.25"/>
    <row r="3440" s="82" customFormat="1" x14ac:dyDescent="0.25"/>
    <row r="3441" s="82" customFormat="1" x14ac:dyDescent="0.25"/>
    <row r="3442" s="82" customFormat="1" x14ac:dyDescent="0.25"/>
    <row r="3443" s="82" customFormat="1" x14ac:dyDescent="0.25"/>
    <row r="3444" s="82" customFormat="1" x14ac:dyDescent="0.25"/>
    <row r="3445" s="82" customFormat="1" x14ac:dyDescent="0.25"/>
    <row r="3446" s="82" customFormat="1" x14ac:dyDescent="0.25"/>
    <row r="3447" s="82" customFormat="1" x14ac:dyDescent="0.25"/>
    <row r="3448" s="82" customFormat="1" x14ac:dyDescent="0.25"/>
    <row r="3449" s="82" customFormat="1" x14ac:dyDescent="0.25"/>
    <row r="3450" s="82" customFormat="1" x14ac:dyDescent="0.25"/>
    <row r="3451" s="82" customFormat="1" x14ac:dyDescent="0.25"/>
    <row r="3452" s="82" customFormat="1" x14ac:dyDescent="0.25"/>
    <row r="3453" s="82" customFormat="1" x14ac:dyDescent="0.25"/>
    <row r="3454" s="82" customFormat="1" x14ac:dyDescent="0.25"/>
    <row r="3455" s="82" customFormat="1" x14ac:dyDescent="0.25"/>
    <row r="3456" s="82" customFormat="1" x14ac:dyDescent="0.25"/>
    <row r="3457" s="82" customFormat="1" x14ac:dyDescent="0.25"/>
    <row r="3458" s="82" customFormat="1" x14ac:dyDescent="0.25"/>
    <row r="3459" s="82" customFormat="1" x14ac:dyDescent="0.25"/>
    <row r="3460" s="82" customFormat="1" x14ac:dyDescent="0.25"/>
    <row r="3461" s="82" customFormat="1" x14ac:dyDescent="0.25"/>
    <row r="3462" s="82" customFormat="1" x14ac:dyDescent="0.25"/>
    <row r="3463" s="82" customFormat="1" x14ac:dyDescent="0.25"/>
    <row r="3464" s="82" customFormat="1" x14ac:dyDescent="0.25"/>
    <row r="3465" s="82" customFormat="1" x14ac:dyDescent="0.25"/>
    <row r="3466" s="82" customFormat="1" x14ac:dyDescent="0.25"/>
    <row r="3467" s="82" customFormat="1" x14ac:dyDescent="0.25"/>
    <row r="3468" s="82" customFormat="1" x14ac:dyDescent="0.25"/>
    <row r="3469" s="82" customFormat="1" x14ac:dyDescent="0.25"/>
    <row r="3470" s="82" customFormat="1" x14ac:dyDescent="0.25"/>
    <row r="3471" s="82" customFormat="1" x14ac:dyDescent="0.25"/>
    <row r="3472" s="82" customFormat="1" x14ac:dyDescent="0.25"/>
    <row r="3473" s="82" customFormat="1" x14ac:dyDescent="0.25"/>
    <row r="3474" s="82" customFormat="1" x14ac:dyDescent="0.25"/>
    <row r="3475" s="82" customFormat="1" x14ac:dyDescent="0.25"/>
    <row r="3476" s="82" customFormat="1" x14ac:dyDescent="0.25"/>
    <row r="3477" s="82" customFormat="1" x14ac:dyDescent="0.25"/>
    <row r="3478" s="82" customFormat="1" x14ac:dyDescent="0.25"/>
    <row r="3479" s="82" customFormat="1" x14ac:dyDescent="0.25"/>
    <row r="3480" s="82" customFormat="1" x14ac:dyDescent="0.25"/>
    <row r="3481" s="82" customFormat="1" x14ac:dyDescent="0.25"/>
    <row r="3482" s="82" customFormat="1" x14ac:dyDescent="0.25"/>
    <row r="3483" s="82" customFormat="1" x14ac:dyDescent="0.25"/>
    <row r="3484" s="82" customFormat="1" x14ac:dyDescent="0.25"/>
    <row r="3485" s="82" customFormat="1" x14ac:dyDescent="0.25"/>
    <row r="3486" s="82" customFormat="1" x14ac:dyDescent="0.25"/>
    <row r="3487" s="82" customFormat="1" x14ac:dyDescent="0.25"/>
    <row r="3488" s="82" customFormat="1" x14ac:dyDescent="0.25"/>
    <row r="3489" s="82" customFormat="1" x14ac:dyDescent="0.25"/>
    <row r="3490" s="82" customFormat="1" x14ac:dyDescent="0.25"/>
    <row r="3491" s="82" customFormat="1" x14ac:dyDescent="0.25"/>
    <row r="3492" s="82" customFormat="1" x14ac:dyDescent="0.25"/>
    <row r="3493" s="82" customFormat="1" x14ac:dyDescent="0.25"/>
    <row r="3494" s="82" customFormat="1" x14ac:dyDescent="0.25"/>
    <row r="3495" s="82" customFormat="1" x14ac:dyDescent="0.25"/>
    <row r="3496" s="82" customFormat="1" x14ac:dyDescent="0.25"/>
    <row r="3497" s="82" customFormat="1" x14ac:dyDescent="0.25"/>
    <row r="3498" s="82" customFormat="1" x14ac:dyDescent="0.25"/>
    <row r="3499" s="82" customFormat="1" x14ac:dyDescent="0.25"/>
    <row r="3500" s="82" customFormat="1" x14ac:dyDescent="0.25"/>
    <row r="3501" s="82" customFormat="1" x14ac:dyDescent="0.25"/>
    <row r="3502" s="82" customFormat="1" x14ac:dyDescent="0.25"/>
    <row r="3503" s="82" customFormat="1" x14ac:dyDescent="0.25"/>
    <row r="3504" s="82" customFormat="1" x14ac:dyDescent="0.25"/>
    <row r="3505" s="82" customFormat="1" x14ac:dyDescent="0.25"/>
    <row r="3506" s="82" customFormat="1" x14ac:dyDescent="0.25"/>
    <row r="3507" s="82" customFormat="1" x14ac:dyDescent="0.25"/>
    <row r="3508" s="82" customFormat="1" x14ac:dyDescent="0.25"/>
    <row r="3509" s="82" customFormat="1" x14ac:dyDescent="0.25"/>
    <row r="3510" s="82" customFormat="1" x14ac:dyDescent="0.25"/>
    <row r="3511" s="82" customFormat="1" x14ac:dyDescent="0.25"/>
    <row r="3512" s="82" customFormat="1" x14ac:dyDescent="0.25"/>
    <row r="3513" s="82" customFormat="1" x14ac:dyDescent="0.25"/>
    <row r="3514" s="82" customFormat="1" x14ac:dyDescent="0.25"/>
    <row r="3515" s="82" customFormat="1" x14ac:dyDescent="0.25"/>
    <row r="3516" s="82" customFormat="1" x14ac:dyDescent="0.25"/>
    <row r="3517" s="82" customFormat="1" x14ac:dyDescent="0.25"/>
    <row r="3518" s="82" customFormat="1" x14ac:dyDescent="0.25"/>
    <row r="3519" s="82" customFormat="1" x14ac:dyDescent="0.25"/>
    <row r="3520" s="82" customFormat="1" x14ac:dyDescent="0.25"/>
    <row r="3521" s="82" customFormat="1" x14ac:dyDescent="0.25"/>
    <row r="3522" s="82" customFormat="1" x14ac:dyDescent="0.25"/>
    <row r="3523" s="82" customFormat="1" x14ac:dyDescent="0.25"/>
    <row r="3524" s="82" customFormat="1" x14ac:dyDescent="0.25"/>
    <row r="3525" s="82" customFormat="1" x14ac:dyDescent="0.25"/>
    <row r="3526" s="82" customFormat="1" x14ac:dyDescent="0.25"/>
    <row r="3527" s="82" customFormat="1" x14ac:dyDescent="0.25"/>
    <row r="3528" s="82" customFormat="1" x14ac:dyDescent="0.25"/>
    <row r="3529" s="82" customFormat="1" x14ac:dyDescent="0.25"/>
    <row r="3530" s="82" customFormat="1" x14ac:dyDescent="0.25"/>
    <row r="3531" s="82" customFormat="1" x14ac:dyDescent="0.25"/>
    <row r="3532" s="82" customFormat="1" x14ac:dyDescent="0.25"/>
    <row r="3533" s="82" customFormat="1" x14ac:dyDescent="0.25"/>
    <row r="3534" s="82" customFormat="1" x14ac:dyDescent="0.25"/>
    <row r="3535" s="82" customFormat="1" x14ac:dyDescent="0.25"/>
    <row r="3536" s="82" customFormat="1" x14ac:dyDescent="0.25"/>
    <row r="3537" s="82" customFormat="1" x14ac:dyDescent="0.25"/>
    <row r="3538" s="82" customFormat="1" x14ac:dyDescent="0.25"/>
    <row r="3539" s="82" customFormat="1" x14ac:dyDescent="0.25"/>
    <row r="3540" s="82" customFormat="1" x14ac:dyDescent="0.25"/>
    <row r="3541" s="82" customFormat="1" x14ac:dyDescent="0.25"/>
    <row r="3542" s="82" customFormat="1" x14ac:dyDescent="0.25"/>
    <row r="3543" s="82" customFormat="1" x14ac:dyDescent="0.25"/>
    <row r="3544" s="82" customFormat="1" x14ac:dyDescent="0.25"/>
    <row r="3545" s="82" customFormat="1" x14ac:dyDescent="0.25"/>
    <row r="3546" s="82" customFormat="1" x14ac:dyDescent="0.25"/>
    <row r="3547" s="82" customFormat="1" x14ac:dyDescent="0.25"/>
    <row r="3548" s="82" customFormat="1" x14ac:dyDescent="0.25"/>
    <row r="3549" s="82" customFormat="1" x14ac:dyDescent="0.25"/>
    <row r="3550" s="82" customFormat="1" x14ac:dyDescent="0.25"/>
    <row r="3551" s="82" customFormat="1" x14ac:dyDescent="0.25"/>
    <row r="3552" s="82" customFormat="1" x14ac:dyDescent="0.25"/>
    <row r="3553" s="82" customFormat="1" x14ac:dyDescent="0.25"/>
    <row r="3554" s="82" customFormat="1" x14ac:dyDescent="0.25"/>
    <row r="3555" s="82" customFormat="1" x14ac:dyDescent="0.25"/>
    <row r="3556" s="82" customFormat="1" x14ac:dyDescent="0.25"/>
    <row r="3557" s="82" customFormat="1" x14ac:dyDescent="0.25"/>
    <row r="3558" s="82" customFormat="1" x14ac:dyDescent="0.25"/>
    <row r="3559" s="82" customFormat="1" x14ac:dyDescent="0.25"/>
    <row r="3560" s="82" customFormat="1" x14ac:dyDescent="0.25"/>
    <row r="3561" s="82" customFormat="1" x14ac:dyDescent="0.25"/>
    <row r="3562" s="82" customFormat="1" x14ac:dyDescent="0.25"/>
    <row r="3563" s="82" customFormat="1" x14ac:dyDescent="0.25"/>
    <row r="3564" s="82" customFormat="1" x14ac:dyDescent="0.25"/>
    <row r="3565" s="82" customFormat="1" x14ac:dyDescent="0.25"/>
    <row r="3566" s="82" customFormat="1" x14ac:dyDescent="0.25"/>
    <row r="3567" s="82" customFormat="1" x14ac:dyDescent="0.25"/>
    <row r="3568" s="82" customFormat="1" x14ac:dyDescent="0.25"/>
    <row r="3569" s="82" customFormat="1" x14ac:dyDescent="0.25"/>
    <row r="3570" s="82" customFormat="1" x14ac:dyDescent="0.25"/>
    <row r="3571" s="82" customFormat="1" x14ac:dyDescent="0.25"/>
    <row r="3572" s="82" customFormat="1" x14ac:dyDescent="0.25"/>
    <row r="3573" s="82" customFormat="1" x14ac:dyDescent="0.25"/>
    <row r="3574" s="82" customFormat="1" x14ac:dyDescent="0.25"/>
    <row r="3575" s="82" customFormat="1" x14ac:dyDescent="0.25"/>
    <row r="3576" s="82" customFormat="1" x14ac:dyDescent="0.25"/>
    <row r="3577" s="82" customFormat="1" x14ac:dyDescent="0.25"/>
    <row r="3578" s="82" customFormat="1" x14ac:dyDescent="0.25"/>
    <row r="3579" s="82" customFormat="1" x14ac:dyDescent="0.25"/>
    <row r="3580" s="82" customFormat="1" x14ac:dyDescent="0.25"/>
    <row r="3581" s="82" customFormat="1" x14ac:dyDescent="0.25"/>
    <row r="3582" s="82" customFormat="1" x14ac:dyDescent="0.25"/>
    <row r="3583" s="82" customFormat="1" x14ac:dyDescent="0.25"/>
    <row r="3584" s="82" customFormat="1" x14ac:dyDescent="0.25"/>
    <row r="3585" s="82" customFormat="1" x14ac:dyDescent="0.25"/>
    <row r="3586" s="82" customFormat="1" x14ac:dyDescent="0.25"/>
    <row r="3587" s="82" customFormat="1" x14ac:dyDescent="0.25"/>
    <row r="3588" s="82" customFormat="1" x14ac:dyDescent="0.25"/>
    <row r="3589" s="82" customFormat="1" x14ac:dyDescent="0.25"/>
    <row r="3590" s="82" customFormat="1" x14ac:dyDescent="0.25"/>
    <row r="3591" s="82" customFormat="1" x14ac:dyDescent="0.25"/>
    <row r="3592" s="82" customFormat="1" x14ac:dyDescent="0.25"/>
    <row r="3593" s="82" customFormat="1" x14ac:dyDescent="0.25"/>
    <row r="3594" s="82" customFormat="1" x14ac:dyDescent="0.25"/>
    <row r="3595" s="82" customFormat="1" x14ac:dyDescent="0.25"/>
    <row r="3596" s="82" customFormat="1" x14ac:dyDescent="0.25"/>
    <row r="3597" s="82" customFormat="1" x14ac:dyDescent="0.25"/>
    <row r="3598" s="82" customFormat="1" x14ac:dyDescent="0.25"/>
    <row r="3599" s="82" customFormat="1" x14ac:dyDescent="0.25"/>
    <row r="3600" s="82" customFormat="1" x14ac:dyDescent="0.25"/>
    <row r="3601" s="82" customFormat="1" x14ac:dyDescent="0.25"/>
    <row r="3602" s="82" customFormat="1" x14ac:dyDescent="0.25"/>
    <row r="3603" s="82" customFormat="1" x14ac:dyDescent="0.25"/>
    <row r="3604" s="82" customFormat="1" x14ac:dyDescent="0.25"/>
    <row r="3605" s="82" customFormat="1" x14ac:dyDescent="0.25"/>
    <row r="3606" s="82" customFormat="1" x14ac:dyDescent="0.25"/>
    <row r="3607" s="82" customFormat="1" x14ac:dyDescent="0.25"/>
    <row r="3608" s="82" customFormat="1" x14ac:dyDescent="0.25"/>
    <row r="3609" s="82" customFormat="1" x14ac:dyDescent="0.25"/>
    <row r="3610" s="82" customFormat="1" x14ac:dyDescent="0.25"/>
    <row r="3611" s="82" customFormat="1" x14ac:dyDescent="0.25"/>
    <row r="3612" s="82" customFormat="1" x14ac:dyDescent="0.25"/>
    <row r="3613" s="82" customFormat="1" x14ac:dyDescent="0.25"/>
    <row r="3614" s="82" customFormat="1" x14ac:dyDescent="0.25"/>
    <row r="3615" s="82" customFormat="1" x14ac:dyDescent="0.25"/>
    <row r="3616" s="82" customFormat="1" x14ac:dyDescent="0.25"/>
    <row r="3617" s="82" customFormat="1" x14ac:dyDescent="0.25"/>
    <row r="3618" s="82" customFormat="1" x14ac:dyDescent="0.25"/>
    <row r="3619" s="82" customFormat="1" x14ac:dyDescent="0.25"/>
    <row r="3620" s="82" customFormat="1" x14ac:dyDescent="0.25"/>
    <row r="3621" s="82" customFormat="1" x14ac:dyDescent="0.25"/>
    <row r="3622" s="82" customFormat="1" x14ac:dyDescent="0.25"/>
    <row r="3623" s="82" customFormat="1" x14ac:dyDescent="0.25"/>
    <row r="3624" s="82" customFormat="1" x14ac:dyDescent="0.25"/>
    <row r="3625" s="82" customFormat="1" x14ac:dyDescent="0.25"/>
    <row r="3626" s="82" customFormat="1" x14ac:dyDescent="0.25"/>
    <row r="3627" s="82" customFormat="1" x14ac:dyDescent="0.25"/>
    <row r="3628" s="82" customFormat="1" x14ac:dyDescent="0.25"/>
    <row r="3629" s="82" customFormat="1" x14ac:dyDescent="0.25"/>
    <row r="3630" s="82" customFormat="1" x14ac:dyDescent="0.25"/>
    <row r="3631" s="82" customFormat="1" x14ac:dyDescent="0.25"/>
    <row r="3632" s="82" customFormat="1" x14ac:dyDescent="0.25"/>
    <row r="3633" s="82" customFormat="1" x14ac:dyDescent="0.25"/>
    <row r="3634" s="82" customFormat="1" x14ac:dyDescent="0.25"/>
    <row r="3635" s="82" customFormat="1" x14ac:dyDescent="0.25"/>
    <row r="3636" s="82" customFormat="1" x14ac:dyDescent="0.25"/>
    <row r="3637" s="82" customFormat="1" x14ac:dyDescent="0.25"/>
    <row r="3638" s="82" customFormat="1" x14ac:dyDescent="0.25"/>
    <row r="3639" s="82" customFormat="1" x14ac:dyDescent="0.25"/>
    <row r="3640" s="82" customFormat="1" x14ac:dyDescent="0.25"/>
    <row r="3641" s="82" customFormat="1" x14ac:dyDescent="0.25"/>
    <row r="3642" s="82" customFormat="1" x14ac:dyDescent="0.25"/>
    <row r="3643" s="82" customFormat="1" x14ac:dyDescent="0.25"/>
    <row r="3644" s="82" customFormat="1" x14ac:dyDescent="0.25"/>
    <row r="3645" s="82" customFormat="1" x14ac:dyDescent="0.25"/>
    <row r="3646" s="82" customFormat="1" x14ac:dyDescent="0.25"/>
    <row r="3647" s="82" customFormat="1" x14ac:dyDescent="0.25"/>
    <row r="3648" s="82" customFormat="1" x14ac:dyDescent="0.25"/>
    <row r="3649" s="82" customFormat="1" x14ac:dyDescent="0.25"/>
    <row r="3650" s="82" customFormat="1" x14ac:dyDescent="0.25"/>
    <row r="3651" s="82" customFormat="1" x14ac:dyDescent="0.25"/>
    <row r="3652" s="82" customFormat="1" x14ac:dyDescent="0.25"/>
    <row r="3653" s="82" customFormat="1" x14ac:dyDescent="0.25"/>
    <row r="3654" s="82" customFormat="1" x14ac:dyDescent="0.25"/>
    <row r="3655" s="82" customFormat="1" x14ac:dyDescent="0.25"/>
    <row r="3656" s="82" customFormat="1" x14ac:dyDescent="0.25"/>
    <row r="3657" s="82" customFormat="1" x14ac:dyDescent="0.25"/>
    <row r="3658" s="82" customFormat="1" x14ac:dyDescent="0.25"/>
    <row r="3659" s="82" customFormat="1" x14ac:dyDescent="0.25"/>
    <row r="3660" s="82" customFormat="1" x14ac:dyDescent="0.25"/>
    <row r="3661" s="82" customFormat="1" x14ac:dyDescent="0.25"/>
    <row r="3662" s="82" customFormat="1" x14ac:dyDescent="0.25"/>
    <row r="3663" s="82" customFormat="1" x14ac:dyDescent="0.25"/>
    <row r="3664" s="82" customFormat="1" x14ac:dyDescent="0.25"/>
    <row r="3665" s="82" customFormat="1" x14ac:dyDescent="0.25"/>
    <row r="3666" s="82" customFormat="1" x14ac:dyDescent="0.25"/>
    <row r="3667" s="82" customFormat="1" x14ac:dyDescent="0.25"/>
    <row r="3668" s="82" customFormat="1" x14ac:dyDescent="0.25"/>
    <row r="3669" s="82" customFormat="1" x14ac:dyDescent="0.25"/>
    <row r="3670" s="82" customFormat="1" x14ac:dyDescent="0.25"/>
    <row r="3671" s="82" customFormat="1" x14ac:dyDescent="0.25"/>
    <row r="3672" s="82" customFormat="1" x14ac:dyDescent="0.25"/>
    <row r="3673" s="82" customFormat="1" x14ac:dyDescent="0.25"/>
    <row r="3674" s="82" customFormat="1" x14ac:dyDescent="0.25"/>
    <row r="3675" s="82" customFormat="1" x14ac:dyDescent="0.25"/>
    <row r="3676" s="82" customFormat="1" x14ac:dyDescent="0.25"/>
    <row r="3677" s="82" customFormat="1" x14ac:dyDescent="0.25"/>
    <row r="3678" s="82" customFormat="1" x14ac:dyDescent="0.25"/>
    <row r="3679" s="82" customFormat="1" x14ac:dyDescent="0.25"/>
    <row r="3680" s="82" customFormat="1" x14ac:dyDescent="0.25"/>
    <row r="3681" s="82" customFormat="1" x14ac:dyDescent="0.25"/>
    <row r="3682" s="82" customFormat="1" x14ac:dyDescent="0.25"/>
    <row r="3683" s="82" customFormat="1" x14ac:dyDescent="0.25"/>
    <row r="3684" s="82" customFormat="1" x14ac:dyDescent="0.25"/>
    <row r="3685" s="82" customFormat="1" x14ac:dyDescent="0.25"/>
    <row r="3686" s="82" customFormat="1" x14ac:dyDescent="0.25"/>
    <row r="3687" s="82" customFormat="1" x14ac:dyDescent="0.25"/>
    <row r="3688" s="82" customFormat="1" x14ac:dyDescent="0.25"/>
    <row r="3689" s="82" customFormat="1" x14ac:dyDescent="0.25"/>
    <row r="3690" s="82" customFormat="1" x14ac:dyDescent="0.25"/>
    <row r="3691" s="82" customFormat="1" x14ac:dyDescent="0.25"/>
    <row r="3692" s="82" customFormat="1" x14ac:dyDescent="0.25"/>
    <row r="3693" s="82" customFormat="1" x14ac:dyDescent="0.25"/>
    <row r="3694" s="82" customFormat="1" x14ac:dyDescent="0.25"/>
    <row r="3695" s="82" customFormat="1" x14ac:dyDescent="0.25"/>
    <row r="3696" s="82" customFormat="1" x14ac:dyDescent="0.25"/>
    <row r="3697" s="82" customFormat="1" x14ac:dyDescent="0.25"/>
    <row r="3698" s="82" customFormat="1" x14ac:dyDescent="0.25"/>
    <row r="3699" s="82" customFormat="1" x14ac:dyDescent="0.25"/>
    <row r="3700" s="82" customFormat="1" x14ac:dyDescent="0.25"/>
    <row r="3701" s="82" customFormat="1" x14ac:dyDescent="0.25"/>
    <row r="3702" s="82" customFormat="1" x14ac:dyDescent="0.25"/>
    <row r="3703" s="82" customFormat="1" x14ac:dyDescent="0.25"/>
    <row r="3704" s="82" customFormat="1" x14ac:dyDescent="0.25"/>
    <row r="3705" s="82" customFormat="1" x14ac:dyDescent="0.25"/>
    <row r="3706" s="82" customFormat="1" x14ac:dyDescent="0.25"/>
    <row r="3707" s="82" customFormat="1" x14ac:dyDescent="0.25"/>
    <row r="3708" s="82" customFormat="1" x14ac:dyDescent="0.25"/>
    <row r="3709" s="82" customFormat="1" x14ac:dyDescent="0.25"/>
    <row r="3710" s="82" customFormat="1" x14ac:dyDescent="0.25"/>
    <row r="3711" s="82" customFormat="1" x14ac:dyDescent="0.25"/>
    <row r="3712" s="82" customFormat="1" x14ac:dyDescent="0.25"/>
    <row r="3713" s="82" customFormat="1" x14ac:dyDescent="0.25"/>
    <row r="3714" s="82" customFormat="1" x14ac:dyDescent="0.25"/>
    <row r="3715" s="82" customFormat="1" x14ac:dyDescent="0.25"/>
    <row r="3716" s="82" customFormat="1" x14ac:dyDescent="0.25"/>
    <row r="3717" s="82" customFormat="1" x14ac:dyDescent="0.25"/>
    <row r="3718" s="82" customFormat="1" x14ac:dyDescent="0.25"/>
    <row r="3719" s="82" customFormat="1" x14ac:dyDescent="0.25"/>
    <row r="3720" s="82" customFormat="1" x14ac:dyDescent="0.25"/>
    <row r="3721" s="82" customFormat="1" x14ac:dyDescent="0.25"/>
    <row r="3722" s="82" customFormat="1" x14ac:dyDescent="0.25"/>
    <row r="3723" s="82" customFormat="1" x14ac:dyDescent="0.25"/>
    <row r="3724" s="82" customFormat="1" x14ac:dyDescent="0.25"/>
    <row r="3725" s="82" customFormat="1" x14ac:dyDescent="0.25"/>
    <row r="3726" s="82" customFormat="1" x14ac:dyDescent="0.25"/>
    <row r="3727" s="82" customFormat="1" x14ac:dyDescent="0.25"/>
    <row r="3728" s="82" customFormat="1" x14ac:dyDescent="0.25"/>
    <row r="3729" s="82" customFormat="1" x14ac:dyDescent="0.25"/>
    <row r="3730" s="82" customFormat="1" x14ac:dyDescent="0.25"/>
    <row r="3731" s="82" customFormat="1" x14ac:dyDescent="0.25"/>
    <row r="3732" s="82" customFormat="1" x14ac:dyDescent="0.25"/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E7BC-AC11-4130-83FC-58F886B3FC15}">
  <dimension ref="A3:AP118"/>
  <sheetViews>
    <sheetView zoomScale="80" zoomScaleNormal="80" workbookViewId="0">
      <selection activeCell="O46" sqref="O46"/>
    </sheetView>
  </sheetViews>
  <sheetFormatPr baseColWidth="10" defaultColWidth="9.140625" defaultRowHeight="14.25" x14ac:dyDescent="0.2"/>
  <cols>
    <col min="1" max="1" width="9.140625" style="1"/>
    <col min="2" max="2" width="14.140625" style="1" bestFit="1" customWidth="1"/>
    <col min="3" max="3" width="20.7109375" style="1" bestFit="1" customWidth="1"/>
    <col min="4" max="4" width="24.28515625" style="1" bestFit="1" customWidth="1"/>
    <col min="5" max="5" width="22.85546875" style="1" bestFit="1" customWidth="1"/>
    <col min="6" max="6" width="17.42578125" style="1" bestFit="1" customWidth="1"/>
    <col min="7" max="7" width="22.42578125" style="1" bestFit="1" customWidth="1"/>
    <col min="8" max="8" width="21.85546875" style="1" customWidth="1"/>
    <col min="9" max="9" width="17.85546875" style="1" bestFit="1" customWidth="1"/>
    <col min="10" max="10" width="16.85546875" style="1" bestFit="1" customWidth="1"/>
    <col min="11" max="11" width="9.140625" style="1" customWidth="1"/>
    <col min="12" max="12" width="12" style="1" customWidth="1"/>
    <col min="13" max="17" width="9.140625" style="1"/>
    <col min="18" max="18" width="33.85546875" style="1" customWidth="1"/>
    <col min="19" max="16384" width="9.140625" style="1"/>
  </cols>
  <sheetData>
    <row r="3" spans="2:42" s="2" customFormat="1" ht="15" x14ac:dyDescent="0.25"/>
    <row r="4" spans="2:42" x14ac:dyDescent="0.2">
      <c r="F4" s="3"/>
      <c r="G4" s="4"/>
      <c r="H4" s="3"/>
      <c r="I4" s="5"/>
    </row>
    <row r="5" spans="2:42" x14ac:dyDescent="0.2">
      <c r="F5" s="3"/>
      <c r="G5" s="4"/>
      <c r="I5" s="5"/>
    </row>
    <row r="6" spans="2:42" x14ac:dyDescent="0.2">
      <c r="I6" s="4"/>
    </row>
    <row r="7" spans="2:42" x14ac:dyDescent="0.2">
      <c r="I7" s="4"/>
    </row>
    <row r="8" spans="2:42" x14ac:dyDescent="0.2">
      <c r="I8" s="4"/>
    </row>
    <row r="9" spans="2:42" ht="15" thickBot="1" x14ac:dyDescent="0.25">
      <c r="I9" s="4"/>
    </row>
    <row r="10" spans="2:42" ht="15" thickBot="1" x14ac:dyDescent="0.25">
      <c r="B10" s="31" t="s">
        <v>14</v>
      </c>
      <c r="C10" s="32"/>
      <c r="D10" s="32"/>
      <c r="E10" s="32"/>
      <c r="F10" s="32"/>
      <c r="G10" s="32"/>
      <c r="H10" s="32"/>
      <c r="I10" s="33"/>
      <c r="J10" s="19"/>
      <c r="K10" s="20"/>
      <c r="L10" s="21"/>
      <c r="AN10" s="26"/>
      <c r="AP10" s="26"/>
    </row>
    <row r="11" spans="2:42" ht="15.75" thickBot="1" x14ac:dyDescent="0.25">
      <c r="B11" s="13" t="s">
        <v>2</v>
      </c>
      <c r="C11" s="14" t="s">
        <v>3</v>
      </c>
      <c r="D11" s="14" t="s">
        <v>4</v>
      </c>
      <c r="E11" s="14" t="s">
        <v>5</v>
      </c>
      <c r="F11" s="14" t="s">
        <v>6</v>
      </c>
      <c r="G11" s="14" t="s">
        <v>0</v>
      </c>
      <c r="H11" s="14" t="s">
        <v>7</v>
      </c>
      <c r="I11" s="15" t="s">
        <v>8</v>
      </c>
      <c r="AN11" s="26"/>
      <c r="AP11" s="26"/>
    </row>
    <row r="12" spans="2:42" x14ac:dyDescent="0.2">
      <c r="B12" s="34">
        <v>1</v>
      </c>
      <c r="C12" s="30">
        <v>650</v>
      </c>
      <c r="D12" s="30">
        <v>30</v>
      </c>
      <c r="E12" s="7">
        <f>1369/1000</f>
        <v>1.369</v>
      </c>
      <c r="F12" s="7">
        <v>49.08</v>
      </c>
      <c r="G12" s="27">
        <f>1-E12/F12</f>
        <v>0.97210676446617772</v>
      </c>
      <c r="H12" s="30">
        <v>16</v>
      </c>
      <c r="I12" s="38">
        <f>+H12/C12</f>
        <v>2.4615384615384615E-2</v>
      </c>
      <c r="AN12" s="26"/>
      <c r="AP12" s="26"/>
    </row>
    <row r="13" spans="2:42" x14ac:dyDescent="0.2">
      <c r="B13" s="35"/>
      <c r="C13" s="29"/>
      <c r="D13" s="29"/>
      <c r="E13" s="8">
        <f>1386/1000</f>
        <v>1.3859999999999999</v>
      </c>
      <c r="F13" s="8">
        <v>49.73</v>
      </c>
      <c r="G13" s="27">
        <f>1-E13/F13</f>
        <v>0.97212949929619952</v>
      </c>
      <c r="H13" s="29"/>
      <c r="I13" s="39"/>
      <c r="AN13" s="26"/>
      <c r="AP13" s="26"/>
    </row>
    <row r="14" spans="2:42" ht="15" thickBot="1" x14ac:dyDescent="0.25">
      <c r="B14" s="36"/>
      <c r="C14" s="37"/>
      <c r="D14" s="37"/>
      <c r="E14" s="9">
        <f>1387/1000</f>
        <v>1.387</v>
      </c>
      <c r="F14" s="9">
        <v>49.74</v>
      </c>
      <c r="G14" s="27">
        <f>1-E14/F14</f>
        <v>0.97211499798954559</v>
      </c>
      <c r="H14" s="29"/>
      <c r="I14" s="39"/>
      <c r="AN14" s="26"/>
      <c r="AP14" s="26"/>
    </row>
    <row r="15" spans="2:42" ht="15.75" thickBot="1" x14ac:dyDescent="0.25">
      <c r="B15" s="40" t="s">
        <v>1</v>
      </c>
      <c r="C15" s="41"/>
      <c r="D15" s="41"/>
      <c r="E15" s="16">
        <f>AVERAGE(E12:E14)</f>
        <v>1.3806666666666665</v>
      </c>
      <c r="F15" s="16">
        <f>AVERAGE(F12:F14)</f>
        <v>49.516666666666673</v>
      </c>
      <c r="G15" s="16">
        <f>AVERAGE(G12:G14)</f>
        <v>0.97211708725064094</v>
      </c>
      <c r="H15" s="8"/>
      <c r="I15" s="10"/>
      <c r="AN15" s="26"/>
      <c r="AP15" s="26"/>
    </row>
    <row r="16" spans="2:42" x14ac:dyDescent="0.2">
      <c r="B16" s="34">
        <v>2</v>
      </c>
      <c r="C16" s="30">
        <v>650</v>
      </c>
      <c r="D16" s="30">
        <v>40</v>
      </c>
      <c r="E16" s="17">
        <f>549.2/1000</f>
        <v>0.54920000000000002</v>
      </c>
      <c r="F16" s="7">
        <v>49.75</v>
      </c>
      <c r="G16" s="52">
        <f>1-E19/F19</f>
        <v>0.98907437132156228</v>
      </c>
      <c r="H16" s="29">
        <v>51</v>
      </c>
      <c r="I16" s="39">
        <f>+H16/C16</f>
        <v>7.8461538461538458E-2</v>
      </c>
      <c r="AN16" s="26"/>
      <c r="AP16" s="26"/>
    </row>
    <row r="17" spans="2:42" x14ac:dyDescent="0.2">
      <c r="B17" s="35"/>
      <c r="C17" s="29"/>
      <c r="D17" s="29"/>
      <c r="E17" s="17">
        <f>542.2/1000</f>
        <v>0.54220000000000002</v>
      </c>
      <c r="F17" s="18">
        <v>49.94</v>
      </c>
      <c r="G17" s="52"/>
      <c r="H17" s="29"/>
      <c r="I17" s="39"/>
    </row>
    <row r="18" spans="2:42" ht="15" thickBot="1" x14ac:dyDescent="0.25">
      <c r="B18" s="36"/>
      <c r="C18" s="37"/>
      <c r="D18" s="37"/>
      <c r="E18" s="17">
        <f>542.2/1000</f>
        <v>0.54220000000000002</v>
      </c>
      <c r="F18" s="18">
        <v>49.83</v>
      </c>
      <c r="G18" s="52"/>
      <c r="H18" s="29"/>
      <c r="I18" s="39"/>
    </row>
    <row r="19" spans="2:42" ht="15.75" thickBot="1" x14ac:dyDescent="0.25">
      <c r="B19" s="42" t="s">
        <v>1</v>
      </c>
      <c r="C19" s="43"/>
      <c r="D19" s="43"/>
      <c r="E19" s="16">
        <f>AVERAGE(E16:E18)</f>
        <v>0.54453333333333342</v>
      </c>
      <c r="F19" s="6">
        <f>AVERAGE(F16:F18)</f>
        <v>49.839999999999996</v>
      </c>
      <c r="G19" s="11"/>
      <c r="H19" s="9"/>
      <c r="I19" s="12"/>
    </row>
    <row r="20" spans="2:42" x14ac:dyDescent="0.2">
      <c r="B20" s="44">
        <v>3</v>
      </c>
      <c r="C20" s="47">
        <v>650</v>
      </c>
      <c r="D20" s="47">
        <v>50</v>
      </c>
      <c r="E20" s="22">
        <f>392.7/1000</f>
        <v>0.39269999999999999</v>
      </c>
      <c r="F20" s="23">
        <v>50.17</v>
      </c>
      <c r="G20" s="50">
        <f>1-E23/F23</f>
        <v>0.99214739349034131</v>
      </c>
      <c r="H20" s="48">
        <v>88</v>
      </c>
      <c r="I20" s="51">
        <f>+H20/C20</f>
        <v>0.13538461538461538</v>
      </c>
    </row>
    <row r="21" spans="2:42" x14ac:dyDescent="0.2">
      <c r="B21" s="45"/>
      <c r="C21" s="48"/>
      <c r="D21" s="48"/>
      <c r="E21" s="22">
        <f>397/1000</f>
        <v>0.39700000000000002</v>
      </c>
      <c r="F21" s="24">
        <v>50.43</v>
      </c>
      <c r="G21" s="50"/>
      <c r="H21" s="48"/>
      <c r="I21" s="51"/>
    </row>
    <row r="22" spans="2:42" ht="15" thickBot="1" x14ac:dyDescent="0.25">
      <c r="B22" s="46"/>
      <c r="C22" s="49"/>
      <c r="D22" s="49"/>
      <c r="E22" s="22">
        <f>397.3/1000</f>
        <v>0.39729999999999999</v>
      </c>
      <c r="F22" s="25">
        <v>50.56</v>
      </c>
      <c r="G22" s="50"/>
      <c r="H22" s="48"/>
      <c r="I22" s="51"/>
    </row>
    <row r="23" spans="2:42" ht="15" x14ac:dyDescent="0.2">
      <c r="B23" s="53" t="s">
        <v>1</v>
      </c>
      <c r="C23" s="54"/>
      <c r="D23" s="54"/>
      <c r="E23" s="55">
        <f>AVERAGE(E20:E22)</f>
        <v>0.39566666666666667</v>
      </c>
      <c r="F23" s="56">
        <f>AVERAGE(F20:F22)</f>
        <v>50.386666666666663</v>
      </c>
      <c r="G23" s="11"/>
      <c r="H23" s="9"/>
      <c r="I23" s="12"/>
    </row>
    <row r="24" spans="2:42" x14ac:dyDescent="0.2">
      <c r="B24" s="65"/>
      <c r="C24" s="65"/>
      <c r="D24" s="65"/>
      <c r="E24" s="57"/>
      <c r="F24" s="58"/>
      <c r="G24" s="66"/>
      <c r="H24" s="65"/>
      <c r="I24" s="66"/>
      <c r="J24" s="59"/>
      <c r="K24" s="59"/>
      <c r="L24" s="59"/>
    </row>
    <row r="25" spans="2:42" x14ac:dyDescent="0.2">
      <c r="B25" s="65"/>
      <c r="C25" s="65"/>
      <c r="D25" s="65"/>
      <c r="E25" s="57"/>
      <c r="F25" s="58"/>
      <c r="G25" s="66"/>
      <c r="H25" s="65"/>
      <c r="I25" s="66"/>
      <c r="J25" s="59"/>
      <c r="K25" s="59"/>
      <c r="L25" s="59"/>
    </row>
    <row r="26" spans="2:42" x14ac:dyDescent="0.2">
      <c r="B26" s="65"/>
      <c r="C26" s="65"/>
      <c r="D26" s="65"/>
      <c r="E26" s="57"/>
      <c r="F26" s="58"/>
      <c r="G26" s="66"/>
      <c r="H26" s="65"/>
      <c r="I26" s="66"/>
      <c r="J26" s="59"/>
      <c r="K26" s="59"/>
      <c r="L26" s="59"/>
    </row>
    <row r="28" spans="2:42" x14ac:dyDescent="0.2">
      <c r="B28" s="1" t="s">
        <v>9</v>
      </c>
    </row>
    <row r="29" spans="2:42" ht="16.5" x14ac:dyDescent="0.2">
      <c r="B29" s="1" t="s">
        <v>10</v>
      </c>
      <c r="C29" s="1" t="s">
        <v>11</v>
      </c>
      <c r="D29" s="1" t="s">
        <v>0</v>
      </c>
      <c r="E29" s="1" t="s">
        <v>12</v>
      </c>
      <c r="F29" s="1" t="s">
        <v>13</v>
      </c>
    </row>
    <row r="30" spans="2:42" x14ac:dyDescent="0.2">
      <c r="B30" s="1">
        <v>30</v>
      </c>
      <c r="C30" s="1">
        <f>H12/2.8</f>
        <v>5.7142857142857144</v>
      </c>
      <c r="D30" s="1">
        <f>97.2</f>
        <v>97.2</v>
      </c>
      <c r="E30" s="28">
        <f>C30/B30</f>
        <v>0.19047619047619049</v>
      </c>
      <c r="F30" s="1">
        <f>C30*2.8</f>
        <v>16</v>
      </c>
      <c r="G30" s="28">
        <f>F30/650*100</f>
        <v>2.4615384615384617</v>
      </c>
      <c r="AN30" s="26"/>
      <c r="AP30" s="26"/>
    </row>
    <row r="31" spans="2:42" x14ac:dyDescent="0.2">
      <c r="B31" s="1">
        <v>40</v>
      </c>
      <c r="C31" s="1">
        <f>51/2.8</f>
        <v>18.214285714285715</v>
      </c>
      <c r="D31" s="1">
        <v>98.9</v>
      </c>
      <c r="E31" s="28">
        <f t="shared" ref="E31:E32" si="0">C31/B31</f>
        <v>0.4553571428571429</v>
      </c>
      <c r="F31" s="1">
        <f t="shared" ref="F31:F32" si="1">C31*2.8</f>
        <v>51</v>
      </c>
      <c r="G31" s="28">
        <f t="shared" ref="G31:G32" si="2">F31/650*100</f>
        <v>7.8461538461538458</v>
      </c>
      <c r="AN31" s="26"/>
      <c r="AP31" s="26"/>
    </row>
    <row r="32" spans="2:42" x14ac:dyDescent="0.2">
      <c r="B32" s="1">
        <v>50</v>
      </c>
      <c r="C32" s="1">
        <f>88/2.8</f>
        <v>31.428571428571431</v>
      </c>
      <c r="D32" s="1">
        <v>99.2</v>
      </c>
      <c r="E32" s="28">
        <f t="shared" si="0"/>
        <v>0.62857142857142856</v>
      </c>
      <c r="F32" s="1">
        <f t="shared" si="1"/>
        <v>88</v>
      </c>
      <c r="G32" s="28">
        <f t="shared" si="2"/>
        <v>13.538461538461538</v>
      </c>
      <c r="AN32" s="26"/>
      <c r="AP32" s="26"/>
    </row>
    <row r="33" spans="2:42" x14ac:dyDescent="0.2">
      <c r="AN33" s="26"/>
      <c r="AP33" s="26"/>
    </row>
    <row r="34" spans="2:42" x14ac:dyDescent="0.2">
      <c r="AN34" s="26"/>
      <c r="AP34" s="26"/>
    </row>
    <row r="35" spans="2:42" x14ac:dyDescent="0.2">
      <c r="AN35" s="26"/>
      <c r="AP35" s="26"/>
    </row>
    <row r="36" spans="2:42" x14ac:dyDescent="0.2">
      <c r="AN36" s="26"/>
      <c r="AP36" s="26"/>
    </row>
    <row r="37" spans="2:42" x14ac:dyDescent="0.2">
      <c r="AP37" s="26"/>
    </row>
    <row r="44" spans="2:42" x14ac:dyDescent="0.2">
      <c r="B44" s="65"/>
      <c r="C44" s="65"/>
      <c r="D44" s="65"/>
      <c r="E44" s="58"/>
      <c r="F44" s="58"/>
      <c r="G44" s="66"/>
      <c r="H44" s="67"/>
      <c r="I44" s="66"/>
      <c r="J44" s="68"/>
      <c r="K44" s="59"/>
      <c r="L44" s="59"/>
    </row>
    <row r="45" spans="2:42" x14ac:dyDescent="0.2">
      <c r="B45" s="65"/>
      <c r="C45" s="65"/>
      <c r="D45" s="65"/>
      <c r="E45" s="58"/>
      <c r="F45" s="58"/>
      <c r="G45" s="66"/>
      <c r="H45" s="67"/>
      <c r="I45" s="66"/>
      <c r="J45" s="68"/>
      <c r="K45" s="59"/>
      <c r="L45" s="59"/>
    </row>
    <row r="46" spans="2:42" x14ac:dyDescent="0.2">
      <c r="B46" s="65"/>
      <c r="C46" s="65"/>
      <c r="D46" s="65"/>
      <c r="E46" s="58"/>
      <c r="F46" s="58"/>
      <c r="G46" s="66"/>
      <c r="H46" s="67"/>
      <c r="I46" s="66"/>
      <c r="J46" s="68"/>
      <c r="K46" s="59"/>
      <c r="L46" s="59"/>
    </row>
    <row r="47" spans="2:42" ht="15" x14ac:dyDescent="0.2">
      <c r="B47" s="64"/>
      <c r="C47" s="64"/>
      <c r="D47" s="64"/>
      <c r="E47" s="60"/>
      <c r="F47" s="61"/>
      <c r="G47" s="62"/>
      <c r="H47" s="58"/>
      <c r="I47" s="62"/>
      <c r="J47" s="59"/>
      <c r="K47" s="59"/>
      <c r="L47" s="59"/>
    </row>
    <row r="48" spans="2:42" x14ac:dyDescent="0.2">
      <c r="B48" s="65"/>
      <c r="C48" s="65"/>
      <c r="D48" s="65"/>
      <c r="E48" s="58"/>
      <c r="F48" s="58"/>
      <c r="G48" s="66"/>
      <c r="H48" s="65"/>
      <c r="I48" s="66"/>
      <c r="J48" s="59"/>
      <c r="K48" s="59"/>
      <c r="L48" s="59"/>
    </row>
    <row r="49" spans="1:12" x14ac:dyDescent="0.2">
      <c r="B49" s="65"/>
      <c r="C49" s="65"/>
      <c r="D49" s="65"/>
      <c r="E49" s="58"/>
      <c r="F49" s="58"/>
      <c r="G49" s="66"/>
      <c r="H49" s="65"/>
      <c r="I49" s="66"/>
      <c r="J49" s="59"/>
      <c r="K49" s="59"/>
      <c r="L49" s="59"/>
    </row>
    <row r="50" spans="1:12" x14ac:dyDescent="0.2">
      <c r="B50" s="65"/>
      <c r="C50" s="65"/>
      <c r="D50" s="65"/>
      <c r="E50" s="58"/>
      <c r="F50" s="58"/>
      <c r="G50" s="66"/>
      <c r="H50" s="65"/>
      <c r="I50" s="66"/>
      <c r="J50" s="59"/>
      <c r="K50" s="59"/>
      <c r="L50" s="59"/>
    </row>
    <row r="51" spans="1:12" x14ac:dyDescent="0.2">
      <c r="B51" s="64"/>
      <c r="C51" s="64"/>
    </row>
    <row r="52" spans="1:12" x14ac:dyDescent="0.2">
      <c r="B52" s="65"/>
      <c r="C52" s="65"/>
    </row>
    <row r="53" spans="1:12" x14ac:dyDescent="0.2">
      <c r="B53" s="65"/>
      <c r="C53" s="65"/>
    </row>
    <row r="54" spans="1:12" x14ac:dyDescent="0.2">
      <c r="B54" s="65"/>
      <c r="C54" s="65"/>
    </row>
    <row r="55" spans="1:12" x14ac:dyDescent="0.2">
      <c r="A55" s="70"/>
      <c r="B55" s="71"/>
      <c r="C55" s="71"/>
    </row>
    <row r="56" spans="1:12" x14ac:dyDescent="0.2">
      <c r="A56" s="70"/>
      <c r="B56" s="74"/>
      <c r="C56" s="74"/>
    </row>
    <row r="57" spans="1:12" x14ac:dyDescent="0.2">
      <c r="A57" s="70"/>
      <c r="B57" s="74"/>
      <c r="C57" s="74"/>
    </row>
    <row r="58" spans="1:12" ht="15" customHeight="1" x14ac:dyDescent="0.2">
      <c r="A58" s="70"/>
      <c r="B58" s="74"/>
      <c r="C58" s="74"/>
    </row>
    <row r="59" spans="1:12" ht="15.75" customHeight="1" x14ac:dyDescent="0.2">
      <c r="A59" s="70"/>
      <c r="B59" s="74"/>
      <c r="C59" s="74"/>
    </row>
    <row r="60" spans="1:12" x14ac:dyDescent="0.2">
      <c r="A60" s="70"/>
      <c r="B60" s="71"/>
      <c r="C60" s="71"/>
    </row>
    <row r="61" spans="1:12" x14ac:dyDescent="0.2">
      <c r="A61" s="70"/>
      <c r="B61" s="74"/>
      <c r="C61" s="74"/>
    </row>
    <row r="62" spans="1:12" x14ac:dyDescent="0.2">
      <c r="A62" s="70"/>
      <c r="B62" s="74"/>
      <c r="C62" s="74"/>
    </row>
    <row r="63" spans="1:12" x14ac:dyDescent="0.2">
      <c r="A63" s="70"/>
      <c r="B63" s="74"/>
      <c r="C63" s="74"/>
    </row>
    <row r="64" spans="1:12" x14ac:dyDescent="0.2">
      <c r="A64" s="70"/>
      <c r="B64" s="71"/>
      <c r="C64" s="71"/>
    </row>
    <row r="65" spans="1:9" x14ac:dyDescent="0.2">
      <c r="A65" s="70"/>
      <c r="B65" s="74"/>
      <c r="C65" s="74"/>
    </row>
    <row r="66" spans="1:9" ht="15" customHeight="1" x14ac:dyDescent="0.2">
      <c r="A66" s="70"/>
      <c r="B66" s="74"/>
      <c r="C66" s="74"/>
    </row>
    <row r="67" spans="1:9" ht="15.75" customHeight="1" x14ac:dyDescent="0.2">
      <c r="A67" s="70"/>
      <c r="B67" s="74"/>
      <c r="C67" s="74"/>
    </row>
    <row r="68" spans="1:9" ht="15" x14ac:dyDescent="0.2">
      <c r="A68" s="70"/>
      <c r="B68" s="71"/>
      <c r="C68" s="71"/>
      <c r="D68" s="71"/>
      <c r="E68" s="76"/>
      <c r="F68" s="77"/>
      <c r="G68" s="75"/>
      <c r="H68" s="74"/>
      <c r="I68" s="75"/>
    </row>
    <row r="69" spans="1:9" x14ac:dyDescent="0.2">
      <c r="A69" s="70"/>
      <c r="B69" s="74"/>
      <c r="C69" s="74"/>
      <c r="D69" s="74"/>
      <c r="E69" s="73"/>
      <c r="F69" s="73"/>
      <c r="G69" s="75"/>
      <c r="H69" s="74"/>
      <c r="I69" s="75"/>
    </row>
    <row r="70" spans="1:9" ht="15" customHeight="1" x14ac:dyDescent="0.2">
      <c r="A70" s="70"/>
      <c r="B70" s="74"/>
      <c r="C70" s="74"/>
      <c r="D70" s="74"/>
      <c r="E70" s="73"/>
      <c r="F70" s="73"/>
      <c r="G70" s="75"/>
      <c r="H70" s="74"/>
      <c r="I70" s="75"/>
    </row>
    <row r="71" spans="1:9" ht="15.75" customHeight="1" x14ac:dyDescent="0.2">
      <c r="A71" s="70"/>
      <c r="B71" s="74"/>
      <c r="C71" s="74"/>
      <c r="D71" s="74"/>
      <c r="E71" s="73"/>
      <c r="F71" s="73"/>
      <c r="G71" s="75"/>
      <c r="H71" s="74"/>
      <c r="I71" s="75"/>
    </row>
    <row r="72" spans="1:9" ht="15" x14ac:dyDescent="0.2">
      <c r="A72" s="70"/>
      <c r="B72" s="71"/>
      <c r="C72" s="71"/>
      <c r="D72" s="71"/>
      <c r="E72" s="76"/>
      <c r="F72" s="77"/>
      <c r="G72" s="75"/>
      <c r="H72" s="74"/>
      <c r="I72" s="75"/>
    </row>
    <row r="73" spans="1:9" x14ac:dyDescent="0.2">
      <c r="A73" s="70"/>
      <c r="B73" s="74"/>
      <c r="C73" s="74"/>
      <c r="D73" s="74"/>
      <c r="E73" s="73"/>
      <c r="F73" s="73"/>
      <c r="G73" s="75"/>
      <c r="H73" s="74"/>
      <c r="I73" s="75"/>
    </row>
    <row r="74" spans="1:9" ht="15" customHeight="1" x14ac:dyDescent="0.2">
      <c r="A74" s="70"/>
      <c r="B74" s="74"/>
      <c r="C74" s="74"/>
      <c r="D74" s="74"/>
      <c r="E74" s="73"/>
      <c r="F74" s="73"/>
      <c r="G74" s="75"/>
      <c r="H74" s="74"/>
      <c r="I74" s="75"/>
    </row>
    <row r="75" spans="1:9" ht="15.75" customHeight="1" x14ac:dyDescent="0.2">
      <c r="A75" s="70"/>
      <c r="B75" s="74"/>
      <c r="C75" s="74"/>
      <c r="D75" s="74"/>
      <c r="E75" s="73"/>
      <c r="F75" s="73"/>
      <c r="G75" s="75"/>
      <c r="H75" s="74"/>
      <c r="I75" s="75"/>
    </row>
    <row r="76" spans="1:9" ht="15" x14ac:dyDescent="0.2">
      <c r="A76" s="70"/>
      <c r="B76" s="71"/>
      <c r="C76" s="71"/>
      <c r="D76" s="71"/>
      <c r="E76" s="76"/>
      <c r="F76" s="77"/>
      <c r="G76" s="75"/>
      <c r="H76" s="74"/>
      <c r="I76" s="75"/>
    </row>
    <row r="77" spans="1:9" x14ac:dyDescent="0.2">
      <c r="A77" s="70"/>
      <c r="B77" s="74"/>
      <c r="C77" s="74"/>
      <c r="D77" s="74"/>
      <c r="E77" s="73"/>
      <c r="F77" s="73"/>
      <c r="G77" s="75"/>
      <c r="H77" s="74"/>
      <c r="I77" s="75"/>
    </row>
    <row r="78" spans="1:9" ht="15" customHeight="1" x14ac:dyDescent="0.2">
      <c r="A78" s="70"/>
      <c r="B78" s="74"/>
      <c r="C78" s="74"/>
      <c r="D78" s="74"/>
      <c r="E78" s="73"/>
      <c r="F78" s="73"/>
      <c r="G78" s="75"/>
      <c r="H78" s="74"/>
      <c r="I78" s="75"/>
    </row>
    <row r="79" spans="1:9" ht="15.75" customHeight="1" x14ac:dyDescent="0.2">
      <c r="A79" s="70"/>
      <c r="B79" s="74"/>
      <c r="C79" s="74"/>
      <c r="D79" s="74"/>
      <c r="E79" s="73"/>
      <c r="F79" s="73"/>
      <c r="G79" s="75"/>
      <c r="H79" s="74"/>
      <c r="I79" s="75"/>
    </row>
    <row r="80" spans="1:9" ht="15" x14ac:dyDescent="0.2">
      <c r="A80" s="70"/>
      <c r="B80" s="71"/>
      <c r="C80" s="71"/>
      <c r="D80" s="71"/>
      <c r="E80" s="76"/>
      <c r="F80" s="77"/>
      <c r="G80" s="75"/>
      <c r="H80" s="74"/>
      <c r="I80" s="75"/>
    </row>
    <row r="81" spans="1:12" ht="15.75" customHeight="1" x14ac:dyDescent="0.2">
      <c r="A81" s="70"/>
      <c r="B81" s="78"/>
      <c r="C81" s="78"/>
      <c r="D81" s="78"/>
      <c r="E81" s="78"/>
      <c r="F81" s="78"/>
      <c r="G81" s="78"/>
      <c r="H81" s="78"/>
      <c r="I81" s="78"/>
    </row>
    <row r="82" spans="1:12" ht="15.75" customHeight="1" x14ac:dyDescent="0.2">
      <c r="A82" s="70"/>
      <c r="B82" s="72"/>
      <c r="C82" s="72"/>
      <c r="D82" s="72"/>
      <c r="E82" s="72"/>
      <c r="F82" s="72"/>
      <c r="G82" s="72"/>
      <c r="H82" s="72"/>
      <c r="I82" s="72"/>
    </row>
    <row r="83" spans="1:12" ht="15" customHeight="1" x14ac:dyDescent="0.2">
      <c r="B83" s="65"/>
      <c r="C83" s="65"/>
      <c r="D83" s="65"/>
      <c r="E83" s="58"/>
      <c r="F83" s="58"/>
      <c r="G83" s="66"/>
      <c r="H83" s="65"/>
      <c r="I83" s="66"/>
    </row>
    <row r="84" spans="1:12" ht="15.75" customHeight="1" x14ac:dyDescent="0.2">
      <c r="B84" s="65"/>
      <c r="C84" s="65"/>
      <c r="D84" s="65"/>
      <c r="E84" s="58"/>
      <c r="F84" s="58"/>
      <c r="G84" s="66"/>
      <c r="H84" s="65"/>
      <c r="I84" s="66"/>
      <c r="J84" s="65"/>
      <c r="K84" s="65"/>
      <c r="L84" s="65"/>
    </row>
    <row r="85" spans="1:12" ht="15.75" customHeight="1" x14ac:dyDescent="0.2">
      <c r="B85" s="65"/>
      <c r="C85" s="65"/>
      <c r="D85" s="65"/>
      <c r="E85" s="58"/>
      <c r="F85" s="58"/>
      <c r="G85" s="66"/>
      <c r="H85" s="65"/>
      <c r="I85" s="66"/>
      <c r="J85" s="65"/>
      <c r="K85" s="65"/>
      <c r="L85" s="65"/>
    </row>
    <row r="86" spans="1:12" ht="15" x14ac:dyDescent="0.2">
      <c r="B86" s="69"/>
      <c r="C86" s="69"/>
      <c r="D86" s="69"/>
      <c r="E86" s="60"/>
      <c r="F86" s="63"/>
      <c r="G86" s="66"/>
      <c r="H86" s="65"/>
      <c r="I86" s="66"/>
      <c r="J86" s="65"/>
      <c r="K86" s="65"/>
      <c r="L86" s="65"/>
    </row>
    <row r="87" spans="1:12" x14ac:dyDescent="0.2">
      <c r="B87" s="65"/>
      <c r="C87" s="65"/>
      <c r="D87" s="65"/>
      <c r="E87" s="58"/>
      <c r="F87" s="58"/>
      <c r="G87" s="66"/>
      <c r="H87" s="65"/>
      <c r="I87" s="66"/>
      <c r="J87" s="65"/>
      <c r="K87" s="65"/>
      <c r="L87" s="65"/>
    </row>
    <row r="88" spans="1:12" ht="15" customHeight="1" x14ac:dyDescent="0.2">
      <c r="B88" s="65"/>
      <c r="C88" s="65"/>
      <c r="D88" s="65"/>
      <c r="E88" s="58"/>
      <c r="F88" s="58"/>
      <c r="G88" s="66"/>
      <c r="H88" s="65"/>
      <c r="I88" s="66"/>
      <c r="J88" s="65"/>
      <c r="K88" s="65"/>
      <c r="L88" s="65"/>
    </row>
    <row r="89" spans="1:12" ht="15.75" customHeight="1" x14ac:dyDescent="0.2">
      <c r="B89" s="65"/>
      <c r="C89" s="65"/>
      <c r="D89" s="65"/>
      <c r="E89" s="58"/>
      <c r="F89" s="58"/>
      <c r="G89" s="66"/>
      <c r="H89" s="65"/>
      <c r="I89" s="66"/>
      <c r="J89" s="65"/>
      <c r="K89" s="65"/>
      <c r="L89" s="65"/>
    </row>
    <row r="90" spans="1:12" ht="15" x14ac:dyDescent="0.2">
      <c r="B90" s="69"/>
      <c r="C90" s="69"/>
      <c r="D90" s="69"/>
      <c r="E90" s="60"/>
      <c r="F90" s="63"/>
      <c r="G90" s="66"/>
      <c r="H90" s="65"/>
      <c r="I90" s="66"/>
      <c r="J90" s="65"/>
      <c r="K90" s="65"/>
      <c r="L90" s="65"/>
    </row>
    <row r="91" spans="1:12" x14ac:dyDescent="0.2">
      <c r="B91" s="65"/>
      <c r="C91" s="65"/>
      <c r="D91" s="65"/>
      <c r="E91" s="58"/>
      <c r="F91" s="58"/>
      <c r="G91" s="66"/>
      <c r="H91" s="65"/>
      <c r="I91" s="66"/>
      <c r="J91" s="65"/>
      <c r="K91" s="65"/>
      <c r="L91" s="65"/>
    </row>
    <row r="92" spans="1:12" ht="15" customHeight="1" x14ac:dyDescent="0.2">
      <c r="B92" s="65"/>
      <c r="C92" s="65"/>
      <c r="D92" s="65"/>
      <c r="E92" s="58"/>
      <c r="F92" s="58"/>
      <c r="G92" s="66"/>
      <c r="H92" s="65"/>
      <c r="I92" s="66"/>
      <c r="J92" s="65"/>
      <c r="K92" s="65"/>
      <c r="L92" s="65"/>
    </row>
    <row r="93" spans="1:12" ht="15.75" customHeight="1" x14ac:dyDescent="0.2">
      <c r="B93" s="65"/>
      <c r="C93" s="65"/>
      <c r="D93" s="65"/>
      <c r="E93" s="58"/>
      <c r="F93" s="58"/>
      <c r="G93" s="66"/>
      <c r="H93" s="65"/>
      <c r="I93" s="66"/>
      <c r="J93" s="65"/>
      <c r="K93" s="65"/>
      <c r="L93" s="65"/>
    </row>
    <row r="94" spans="1:12" ht="15" x14ac:dyDescent="0.2">
      <c r="B94" s="69"/>
      <c r="C94" s="69"/>
      <c r="D94" s="69"/>
      <c r="E94" s="60"/>
      <c r="F94" s="63"/>
      <c r="G94" s="66"/>
      <c r="H94" s="65"/>
      <c r="I94" s="66"/>
      <c r="J94" s="65"/>
      <c r="K94" s="65"/>
      <c r="L94" s="65"/>
    </row>
    <row r="95" spans="1:12" x14ac:dyDescent="0.2">
      <c r="B95" s="65"/>
      <c r="C95" s="65"/>
      <c r="D95" s="65"/>
      <c r="E95" s="58"/>
      <c r="F95" s="58"/>
      <c r="G95" s="66"/>
      <c r="H95" s="65"/>
      <c r="I95" s="66"/>
      <c r="J95" s="65"/>
      <c r="K95" s="65"/>
      <c r="L95" s="65"/>
    </row>
    <row r="96" spans="1:12" ht="15" customHeight="1" x14ac:dyDescent="0.2">
      <c r="B96" s="65"/>
      <c r="C96" s="65"/>
      <c r="D96" s="65"/>
      <c r="E96" s="58"/>
      <c r="F96" s="58"/>
      <c r="G96" s="66"/>
      <c r="H96" s="65"/>
      <c r="I96" s="66"/>
      <c r="J96" s="65"/>
      <c r="K96" s="65"/>
      <c r="L96" s="65"/>
    </row>
    <row r="97" spans="2:12" ht="15.75" customHeight="1" x14ac:dyDescent="0.2">
      <c r="B97" s="65"/>
      <c r="C97" s="65"/>
      <c r="D97" s="65"/>
      <c r="E97" s="58"/>
      <c r="F97" s="58"/>
      <c r="G97" s="66"/>
      <c r="H97" s="65"/>
      <c r="I97" s="66"/>
      <c r="J97" s="65"/>
      <c r="K97" s="65"/>
      <c r="L97" s="65"/>
    </row>
    <row r="98" spans="2:12" ht="15" x14ac:dyDescent="0.2">
      <c r="B98" s="69"/>
      <c r="C98" s="69"/>
      <c r="D98" s="69"/>
      <c r="E98" s="60"/>
      <c r="F98" s="63"/>
      <c r="G98" s="66"/>
      <c r="H98" s="65"/>
      <c r="I98" s="66"/>
      <c r="J98" s="65"/>
      <c r="K98" s="65"/>
      <c r="L98" s="65"/>
    </row>
    <row r="99" spans="2:12" x14ac:dyDescent="0.2">
      <c r="B99" s="65"/>
      <c r="C99" s="65"/>
      <c r="D99" s="65"/>
      <c r="E99" s="58"/>
      <c r="F99" s="58"/>
      <c r="G99" s="66"/>
      <c r="H99" s="65"/>
      <c r="I99" s="66"/>
      <c r="J99" s="65"/>
      <c r="K99" s="65"/>
      <c r="L99" s="65"/>
    </row>
    <row r="100" spans="2:12" x14ac:dyDescent="0.2">
      <c r="B100" s="65"/>
      <c r="C100" s="65"/>
      <c r="D100" s="65"/>
      <c r="E100" s="58"/>
      <c r="F100" s="58"/>
      <c r="G100" s="66"/>
      <c r="H100" s="65"/>
      <c r="I100" s="66"/>
      <c r="J100" s="65"/>
      <c r="K100" s="65"/>
      <c r="L100" s="65"/>
    </row>
    <row r="101" spans="2:12" x14ac:dyDescent="0.2">
      <c r="B101" s="65"/>
      <c r="C101" s="65"/>
      <c r="D101" s="65"/>
      <c r="E101" s="58"/>
      <c r="F101" s="58"/>
      <c r="G101" s="66"/>
      <c r="H101" s="65"/>
      <c r="I101" s="66"/>
      <c r="J101" s="65"/>
      <c r="K101" s="65"/>
      <c r="L101" s="65"/>
    </row>
    <row r="102" spans="2:12" ht="15" x14ac:dyDescent="0.2">
      <c r="B102" s="69"/>
      <c r="C102" s="69"/>
      <c r="D102" s="69"/>
      <c r="E102" s="60"/>
      <c r="F102" s="63"/>
      <c r="G102" s="66"/>
      <c r="H102" s="65"/>
      <c r="I102" s="66"/>
      <c r="J102" s="65"/>
      <c r="K102" s="65"/>
      <c r="L102" s="65"/>
    </row>
    <row r="103" spans="2:12" x14ac:dyDescent="0.2">
      <c r="B103" s="65"/>
      <c r="C103" s="65"/>
      <c r="D103" s="65"/>
      <c r="E103" s="58"/>
      <c r="F103" s="58"/>
      <c r="G103" s="66"/>
      <c r="H103" s="65"/>
      <c r="I103" s="66"/>
      <c r="J103" s="65"/>
      <c r="K103" s="65"/>
      <c r="L103" s="65"/>
    </row>
    <row r="104" spans="2:12" x14ac:dyDescent="0.2">
      <c r="B104" s="65"/>
      <c r="C104" s="65"/>
      <c r="D104" s="65"/>
      <c r="E104" s="58"/>
      <c r="F104" s="58"/>
      <c r="G104" s="66"/>
      <c r="H104" s="65"/>
      <c r="I104" s="66"/>
      <c r="J104" s="65"/>
      <c r="K104" s="65"/>
      <c r="L104" s="65"/>
    </row>
    <row r="105" spans="2:12" x14ac:dyDescent="0.2">
      <c r="B105" s="65"/>
      <c r="C105" s="65"/>
      <c r="D105" s="65"/>
      <c r="E105" s="58"/>
      <c r="F105" s="58"/>
      <c r="G105" s="66"/>
      <c r="H105" s="65"/>
      <c r="I105" s="66"/>
      <c r="J105" s="65"/>
      <c r="K105" s="65"/>
      <c r="L105" s="65"/>
    </row>
    <row r="106" spans="2:12" ht="15" x14ac:dyDescent="0.2">
      <c r="B106" s="69"/>
      <c r="C106" s="69"/>
      <c r="D106" s="69"/>
      <c r="E106" s="60"/>
      <c r="F106" s="63"/>
      <c r="G106" s="66"/>
      <c r="H106" s="65"/>
      <c r="I106" s="66"/>
      <c r="J106" s="65"/>
      <c r="K106" s="65"/>
      <c r="L106" s="65"/>
    </row>
    <row r="107" spans="2:12" x14ac:dyDescent="0.2">
      <c r="B107" s="65"/>
      <c r="C107" s="65"/>
      <c r="D107" s="65"/>
      <c r="E107" s="58"/>
      <c r="F107" s="58"/>
      <c r="G107" s="66"/>
      <c r="H107" s="65"/>
      <c r="I107" s="66"/>
      <c r="J107" s="65"/>
      <c r="K107" s="65"/>
      <c r="L107" s="65"/>
    </row>
    <row r="108" spans="2:12" x14ac:dyDescent="0.2">
      <c r="B108" s="65"/>
      <c r="C108" s="65"/>
      <c r="D108" s="65"/>
      <c r="E108" s="58"/>
      <c r="F108" s="58"/>
      <c r="G108" s="66"/>
      <c r="H108" s="65"/>
      <c r="I108" s="66"/>
      <c r="J108" s="65"/>
      <c r="K108" s="65"/>
      <c r="L108" s="65"/>
    </row>
    <row r="109" spans="2:12" x14ac:dyDescent="0.2">
      <c r="B109" s="65"/>
      <c r="C109" s="65"/>
      <c r="D109" s="65"/>
      <c r="E109" s="58"/>
      <c r="F109" s="58"/>
      <c r="G109" s="66"/>
      <c r="H109" s="65"/>
      <c r="I109" s="66"/>
      <c r="J109" s="65"/>
      <c r="K109" s="65"/>
      <c r="L109" s="65"/>
    </row>
    <row r="110" spans="2:12" ht="15" x14ac:dyDescent="0.2">
      <c r="B110" s="69"/>
      <c r="C110" s="69"/>
      <c r="D110" s="69"/>
      <c r="E110" s="60"/>
      <c r="F110" s="63"/>
      <c r="G110" s="66"/>
      <c r="H110" s="65"/>
      <c r="I110" s="66"/>
      <c r="J110" s="65"/>
      <c r="K110" s="65"/>
      <c r="L110" s="65"/>
    </row>
    <row r="111" spans="2:12" x14ac:dyDescent="0.2">
      <c r="B111" s="65"/>
      <c r="C111" s="65"/>
      <c r="D111" s="65"/>
      <c r="E111" s="58"/>
      <c r="F111" s="58"/>
      <c r="G111" s="66"/>
      <c r="H111" s="65"/>
      <c r="I111" s="66"/>
      <c r="J111" s="65"/>
      <c r="K111" s="65"/>
      <c r="L111" s="65"/>
    </row>
    <row r="112" spans="2:12" x14ac:dyDescent="0.2">
      <c r="B112" s="65"/>
      <c r="C112" s="65"/>
      <c r="D112" s="65"/>
      <c r="E112" s="58"/>
      <c r="F112" s="58"/>
      <c r="G112" s="66"/>
      <c r="H112" s="65"/>
      <c r="I112" s="66"/>
      <c r="J112" s="65"/>
      <c r="K112" s="65"/>
      <c r="L112" s="65"/>
    </row>
    <row r="113" spans="2:12" x14ac:dyDescent="0.2">
      <c r="B113" s="65"/>
      <c r="C113" s="65"/>
      <c r="D113" s="65"/>
      <c r="E113" s="58"/>
      <c r="F113" s="58"/>
      <c r="G113" s="66"/>
      <c r="H113" s="65"/>
      <c r="I113" s="66"/>
      <c r="J113" s="65"/>
      <c r="K113" s="65"/>
      <c r="L113" s="65"/>
    </row>
    <row r="114" spans="2:12" ht="15" x14ac:dyDescent="0.2">
      <c r="B114" s="69"/>
      <c r="C114" s="69"/>
      <c r="D114" s="69"/>
      <c r="E114" s="60"/>
      <c r="F114" s="63"/>
      <c r="G114" s="66"/>
      <c r="H114" s="65"/>
      <c r="I114" s="66"/>
      <c r="J114" s="65"/>
      <c r="K114" s="65"/>
      <c r="L114" s="65"/>
    </row>
    <row r="115" spans="2:12" x14ac:dyDescent="0.2"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</row>
    <row r="116" spans="2:12" x14ac:dyDescent="0.2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</row>
    <row r="117" spans="2:12" x14ac:dyDescent="0.2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</row>
    <row r="118" spans="2:12" x14ac:dyDescent="0.2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</row>
  </sheetData>
  <mergeCells count="21">
    <mergeCell ref="B15:D15"/>
    <mergeCell ref="B10:I10"/>
    <mergeCell ref="B12:B14"/>
    <mergeCell ref="C12:C14"/>
    <mergeCell ref="D12:D14"/>
    <mergeCell ref="H12:H14"/>
    <mergeCell ref="I12:I14"/>
    <mergeCell ref="B23:D23"/>
    <mergeCell ref="B19:D19"/>
    <mergeCell ref="I16:I18"/>
    <mergeCell ref="B20:B22"/>
    <mergeCell ref="C20:C22"/>
    <mergeCell ref="D20:D22"/>
    <mergeCell ref="G20:G22"/>
    <mergeCell ref="H20:H22"/>
    <mergeCell ref="I20:I22"/>
    <mergeCell ref="B16:B18"/>
    <mergeCell ref="C16:C18"/>
    <mergeCell ref="D16:D18"/>
    <mergeCell ref="G16:G18"/>
    <mergeCell ref="H16:H18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 - water as feed</vt:lpstr>
      <vt:lpstr>RO - NaCl 0.5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Mamen</dc:creator>
  <cp:lastModifiedBy>CARMEN MARÍA SÁNCHEZ ARÉVALO</cp:lastModifiedBy>
  <dcterms:created xsi:type="dcterms:W3CDTF">2018-08-30T08:30:42Z</dcterms:created>
  <dcterms:modified xsi:type="dcterms:W3CDTF">2026-01-07T15:31:08Z</dcterms:modified>
</cp:coreProperties>
</file>